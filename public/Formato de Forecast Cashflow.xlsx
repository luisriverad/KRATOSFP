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uisriveradelissalde/Library/CloudStorage/Dropbox/THE PROFIT GROUP/PROFIT120/PROFIT LABs/BLOQUE 1 - Estructura de Rentabilidad/SESIÓN 1-5/SESIÓN 4 - Gasto Financiero y Flujo de Caja/"/>
    </mc:Choice>
  </mc:AlternateContent>
  <xr:revisionPtr revIDLastSave="0" documentId="13_ncr:1_{848922EB-9558-4F4F-A35F-CF5D69BE3BD7}" xr6:coauthVersionLast="47" xr6:coauthVersionMax="47" xr10:uidLastSave="{00000000-0000-0000-0000-000000000000}"/>
  <bookViews>
    <workbookView xWindow="0" yWindow="660" windowWidth="29400" windowHeight="17160" tabRatio="507" xr2:uid="{C0699A42-DAA0-4E55-935D-AE9035E5D342}"/>
  </bookViews>
  <sheets>
    <sheet name="CASHFLOW SEMANAL" sheetId="6" r:id="rId1"/>
  </sheets>
  <definedNames>
    <definedName name="________________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fas123" hidden="1">{"Balance Sheet",#N/A,FALSE,"Annual Summary";"Cashflows",#N/A,FALSE,"Annual Summary";"Summary Earnings",#N/A,FALSE,"Annual Summary"}</definedName>
    <definedName name="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TN01" hidden="1">{"All Departments Cost Model Summary",#N/A,FALSE,"Ttl Prjct Cost";"Prm Mgnt CM",#N/A,FALSE,"Prg Mgt";"Govt Rltns CM",#N/A,FALSE,"Govt Rltns";"HR CM",#N/A,FALSE,"HR";"B&amp;A CM",#N/A,FALSE,"B&amp;A";"Prjt Cntl CM",#N/A,FALSE,"Prjct Cntrls";"Cntct CM",#N/A,FALSE,"Cntrct";"QA CM",#N/A,FALSE,"QA";"IT CM",#N/A,FALSE,"IT";"DC CM",#N/A,FALSE,"DC";"PMM CM",#N/A,FALSE,"PMM";"HSE CM",#N/A,FALSE,"HSE";"Eng'g CM",#N/A,FALSE,"Eng'g";"Cnstrctn CM",#N/A,FALSE,"Cnstrctn";"Comm'g CM",#N/A,FALSE,"Comm'g"}</definedName>
    <definedName name="____________top15" hidden="1">{#N/A,#N/A,TRUE,"Funnel";#N/A,#N/A,TRUE,"FunnelMatrix"}</definedName>
    <definedName name="____________x1" hidden="1">{#N/A,#N/A,FALSE,"SGP";#N/A,#N/A,FALSE,"SGI";#N/A,#N/A,FALSE,"SGC";#N/A,#N/A,FALSE,"SGS";#N/A,#N/A,FALSE,"SGB"}</definedName>
    <definedName name="____________x2" hidden="1">{#N/A,#N/A,FALSE,"SGP";#N/A,#N/A,FALSE,"SGI";#N/A,#N/A,FALSE,"SGC";#N/A,#N/A,FALSE,"SGS";#N/A,#N/A,FALSE,"SGB"}</definedName>
    <definedName name="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x1" hidden="1">{#N/A,#N/A,FALSE,"SGP";#N/A,#N/A,FALSE,"SGI";#N/A,#N/A,FALSE,"SGC";#N/A,#N/A,FALSE,"SGS";#N/A,#N/A,FALSE,"SGB"}</definedName>
    <definedName name="___________x2" hidden="1">{#N/A,#N/A,FALSE,"SGP";#N/A,#N/A,FALSE,"SGI";#N/A,#N/A,FALSE,"SGC";#N/A,#N/A,FALSE,"SGS";#N/A,#N/A,FALSE,"SGB"}</definedName>
    <definedName name="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x1" hidden="1">{#N/A,#N/A,FALSE,"SGP";#N/A,#N/A,FALSE,"SGI";#N/A,#N/A,FALSE,"SGC";#N/A,#N/A,FALSE,"SGS";#N/A,#N/A,FALSE,"SGB"}</definedName>
    <definedName name="_________x2" hidden="1">{#N/A,#N/A,FALSE,"SGP";#N/A,#N/A,FALSE,"SGI";#N/A,#N/A,FALSE,"SGC";#N/A,#N/A,FALSE,"SGS";#N/A,#N/A,FALSE,"SGB"}</definedName>
    <definedName name="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x1" hidden="1">{#N/A,#N/A,FALSE,"SGP";#N/A,#N/A,FALSE,"SGI";#N/A,#N/A,FALSE,"SGC";#N/A,#N/A,FALSE,"SGS";#N/A,#N/A,FALSE,"SGB"}</definedName>
    <definedName name="________x2" hidden="1">{#N/A,#N/A,FALSE,"SGP";#N/A,#N/A,FALSE,"SGI";#N/A,#N/A,FALSE,"SGC";#N/A,#N/A,FALSE,"SGS";#N/A,#N/A,FALSE,"SGB"}</definedName>
    <definedName name="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x1" hidden="1">{#N/A,#N/A,FALSE,"SGP";#N/A,#N/A,FALSE,"SGI";#N/A,#N/A,FALSE,"SGC";#N/A,#N/A,FALSE,"SGS";#N/A,#N/A,FALSE,"SGB"}</definedName>
    <definedName name="_______x2" hidden="1">{#N/A,#N/A,FALSE,"SGP";#N/A,#N/A,FALSE,"SGI";#N/A,#N/A,FALSE,"SGC";#N/A,#N/A,FALSE,"SGS";#N/A,#N/A,FALSE,"SGB"}</definedName>
    <definedName name="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x1" hidden="1">{#N/A,#N/A,FALSE,"SGP";#N/A,#N/A,FALSE,"SGI";#N/A,#N/A,FALSE,"SGC";#N/A,#N/A,FALSE,"SGS";#N/A,#N/A,FALSE,"SGB"}</definedName>
    <definedName name="______x2" hidden="1">{#N/A,#N/A,FALSE,"SGP";#N/A,#N/A,FALSE,"SGI";#N/A,#N/A,FALSE,"SGC";#N/A,#N/A,FALSE,"SGS";#N/A,#N/A,FALSE,"SGB"}</definedName>
    <definedName name="_____fas123" hidden="1">{"Balance Sheet",#N/A,FALSE,"Annual Summary";"Cashflows",#N/A,FALSE,"Annual Summary";"Summary Earnings",#N/A,FALSE,"Annual Summary"}</definedName>
    <definedName name="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shares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TN01" hidden="1">{"All Departments Cost Model Summary",#N/A,FALSE,"Ttl Prjct Cost";"Prm Mgnt CM",#N/A,FALSE,"Prg Mgt";"Govt Rltns CM",#N/A,FALSE,"Govt Rltns";"HR CM",#N/A,FALSE,"HR";"B&amp;A CM",#N/A,FALSE,"B&amp;A";"Prjt Cntl CM",#N/A,FALSE,"Prjct Cntrls";"Cntct CM",#N/A,FALSE,"Cntrct";"QA CM",#N/A,FALSE,"QA";"IT CM",#N/A,FALSE,"IT";"DC CM",#N/A,FALSE,"DC";"PMM CM",#N/A,FALSE,"PMM";"HSE CM",#N/A,FALSE,"HSE";"Eng'g CM",#N/A,FALSE,"Eng'g";"Cnstrctn CM",#N/A,FALSE,"Cnstrctn";"Comm'g CM",#N/A,FALSE,"Comm'g"}</definedName>
    <definedName name="_____top15" hidden="1">{#N/A,#N/A,TRUE,"Funnel";#N/A,#N/A,TRUE,"FunnelMatrix"}</definedName>
    <definedName name="____fas123" hidden="1">{"Balance Sheet",#N/A,FALSE,"Annual Summary";"Cashflows",#N/A,FALSE,"Annual Summary";"Summary Earnings",#N/A,FALSE,"Annual Summary"}</definedName>
    <definedName name="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TN01" hidden="1">{"All Departments Cost Model Summary",#N/A,FALSE,"Ttl Prjct Cost";"Prm Mgnt CM",#N/A,FALSE,"Prg Mgt";"Govt Rltns CM",#N/A,FALSE,"Govt Rltns";"HR CM",#N/A,FALSE,"HR";"B&amp;A CM",#N/A,FALSE,"B&amp;A";"Prjt Cntl CM",#N/A,FALSE,"Prjct Cntrls";"Cntct CM",#N/A,FALSE,"Cntrct";"QA CM",#N/A,FALSE,"QA";"IT CM",#N/A,FALSE,"IT";"DC CM",#N/A,FALSE,"DC";"PMM CM",#N/A,FALSE,"PMM";"HSE CM",#N/A,FALSE,"HSE";"Eng'g CM",#N/A,FALSE,"Eng'g";"Cnstrctn CM",#N/A,FALSE,"Cnstrctn";"Comm'g CM",#N/A,FALSE,"Comm'g"}</definedName>
    <definedName name="____top15" hidden="1">{#N/A,#N/A,TRUE,"Funnel";#N/A,#N/A,TRUE,"FunnelMatrix"}</definedName>
    <definedName name="____x1" hidden="1">{#N/A,#N/A,FALSE,"SGP";#N/A,#N/A,FALSE,"SGI";#N/A,#N/A,FALSE,"SGC";#N/A,#N/A,FALSE,"SGS";#N/A,#N/A,FALSE,"SGB"}</definedName>
    <definedName name="____x2" hidden="1">{#N/A,#N/A,FALSE,"SGP";#N/A,#N/A,FALSE,"SGI";#N/A,#N/A,FALSE,"SGC";#N/A,#N/A,FALSE,"SGS";#N/A,#N/A,FALSE,"SGB"}</definedName>
    <definedName name="___bnm1" hidden="1">{"Full Sheet",#N/A,FALSE,"MATL";"Full Sheet",#N/A,FALSE,"LAB";"Full Sheet",#N/A,FALSE,"EXP";"Full Sheet",#N/A,FALSE,"QUAL";"Full Sheet",#N/A,FALSE,"DEL";"Full Sheet",#N/A,FALSE,"STK"}</definedName>
    <definedName name="___bvn1" hidden="1">{"Full Sheet",#N/A,FALSE,"MATL";"Full Sheet",#N/A,FALSE,"LAB";"Full Sheet",#N/A,FALSE,"EXP";"Full Sheet",#N/A,FALSE,"QUAL";"Full Sheet",#N/A,FALSE,"DEL";"Full Sheet",#N/A,FALSE,"STK"}</definedName>
    <definedName name="___bvn2" hidden="1">{"Full Sheet",#N/A,FALSE,"MATL";"Full Sheet",#N/A,FALSE,"LAB";"Full Sheet",#N/A,FALSE,"EXP";"Full Sheet",#N/A,FALSE,"QUAL";"Full Sheet",#N/A,FALSE,"DEL";"Full Sheet",#N/A,FALSE,"STK"}</definedName>
    <definedName name="___cbn1" hidden="1">{"Full Sheet",#N/A,FALSE,"MATL";"Full Sheet",#N/A,FALSE,"LAB";"Full Sheet",#N/A,FALSE,"EXP";"Full Sheet",#N/A,FALSE,"QUAL";"Full Sheet",#N/A,FALSE,"DEL";"Full Sheet",#N/A,FALSE,"STK"}</definedName>
    <definedName name="___cbv1" hidden="1">{"Chart",#N/A,FALSE,"MATL";"Chart",#N/A,FALSE,"LAB";"Chart",#N/A,FALSE,"EXP";"Chart",#N/A,FALSE,"QUAL";"Chart",#N/A,FALSE,"DEL";"Chart",#N/A,FALSE,"STK";"Chart",#N/A,FALSE,"hr";"Chart",#N/A,FALSE,"lead"}</definedName>
    <definedName name="___cvb2" hidden="1">{"Chart",#N/A,FALSE,"MATL";"Chart",#N/A,FALSE,"LAB";"Chart",#N/A,FALSE,"EXP";"Chart",#N/A,FALSE,"QUAL";"Chart",#N/A,FALSE,"DEL";"Chart",#N/A,FALSE,"STK";"Chart",#N/A,FALSE,"hr";"Chart",#N/A,FALSE,"lead"}</definedName>
    <definedName name="___ddd1" hidden="1">{"Full Sheet",#N/A,FALSE,"MATL";"Full Sheet",#N/A,FALSE,"LAB";"Full Sheet",#N/A,FALSE,"EXP";"Full Sheet",#N/A,FALSE,"QUAL";"Full Sheet",#N/A,FALSE,"DEL";"Full Sheet",#N/A,FALSE,"STK"}</definedName>
    <definedName name="___mm2" hidden="1">{"Detailed",#N/A,FALSE,"Schedule4"}</definedName>
    <definedName name="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123Graph_A" hidden="1">#REF!</definedName>
    <definedName name="__123Graph_AWA9303" hidden="1">#REF!</definedName>
    <definedName name="__123Graph_AWA9304" hidden="1">#REF!</definedName>
    <definedName name="__123Graph_AWA9507" hidden="1">#REF!</definedName>
    <definedName name="__123Graph_AWG9508" hidden="1">#REF!</definedName>
    <definedName name="__123Graph_BWA9303" hidden="1">#REF!</definedName>
    <definedName name="__123Graph_BWA9304" hidden="1">#REF!</definedName>
    <definedName name="__123Graph_BWA9507" hidden="1">#REF!</definedName>
    <definedName name="__123Graph_BWG9508" hidden="1">#REF!</definedName>
    <definedName name="__123Graph_CSCREENSZ" hidden="1">#REF!</definedName>
    <definedName name="__123Graph_CWA9303" hidden="1">#REF!</definedName>
    <definedName name="__123Graph_CWA9304" hidden="1">#REF!</definedName>
    <definedName name="__123Graph_CWA9507" hidden="1">#REF!</definedName>
    <definedName name="__123Graph_CWG9508" hidden="1">#REF!</definedName>
    <definedName name="__123Graph_DWA9303" hidden="1">#REF!</definedName>
    <definedName name="__123Graph_DWA9304" hidden="1">#REF!</definedName>
    <definedName name="__123Graph_DWA9507" hidden="1">#REF!</definedName>
    <definedName name="__123Graph_DWG9508" hidden="1">#REF!</definedName>
    <definedName name="__123Graph_EWA9303" hidden="1">#REF!</definedName>
    <definedName name="__123Graph_EWA9304" hidden="1">#REF!</definedName>
    <definedName name="__123Graph_X" hidden="1">#REF!</definedName>
    <definedName name="__123Graph_XWA9303" hidden="1">#REF!</definedName>
    <definedName name="__123Graph_XWA9304" hidden="1">#REF!</definedName>
    <definedName name="__123Graph_XWA9507" hidden="1">#REF!</definedName>
    <definedName name="__123Graph_XWG9508" hidden="1">#REF!</definedName>
    <definedName name="__bnm1" hidden="1">{"Full Sheet",#N/A,FALSE,"MATL";"Full Sheet",#N/A,FALSE,"LAB";"Full Sheet",#N/A,FALSE,"EXP";"Full Sheet",#N/A,FALSE,"QUAL";"Full Sheet",#N/A,FALSE,"DEL";"Full Sheet",#N/A,FALSE,"STK"}</definedName>
    <definedName name="__bvn1" hidden="1">{"Full Sheet",#N/A,FALSE,"MATL";"Full Sheet",#N/A,FALSE,"LAB";"Full Sheet",#N/A,FALSE,"EXP";"Full Sheet",#N/A,FALSE,"QUAL";"Full Sheet",#N/A,FALSE,"DEL";"Full Sheet",#N/A,FALSE,"STK"}</definedName>
    <definedName name="__bvn2" hidden="1">{"Full Sheet",#N/A,FALSE,"MATL";"Full Sheet",#N/A,FALSE,"LAB";"Full Sheet",#N/A,FALSE,"EXP";"Full Sheet",#N/A,FALSE,"QUAL";"Full Sheet",#N/A,FALSE,"DEL";"Full Sheet",#N/A,FALSE,"STK"}</definedName>
    <definedName name="__cbn1" hidden="1">{"Full Sheet",#N/A,FALSE,"MATL";"Full Sheet",#N/A,FALSE,"LAB";"Full Sheet",#N/A,FALSE,"EXP";"Full Sheet",#N/A,FALSE,"QUAL";"Full Sheet",#N/A,FALSE,"DEL";"Full Sheet",#N/A,FALSE,"STK"}</definedName>
    <definedName name="__cbv1" hidden="1">{"Chart",#N/A,FALSE,"MATL";"Chart",#N/A,FALSE,"LAB";"Chart",#N/A,FALSE,"EXP";"Chart",#N/A,FALSE,"QUAL";"Chart",#N/A,FALSE,"DEL";"Chart",#N/A,FALSE,"STK";"Chart",#N/A,FALSE,"hr";"Chart",#N/A,FALSE,"lead"}</definedName>
    <definedName name="__cvb2" hidden="1">{"Chart",#N/A,FALSE,"MATL";"Chart",#N/A,FALSE,"LAB";"Chart",#N/A,FALSE,"EXP";"Chart",#N/A,FALSE,"QUAL";"Chart",#N/A,FALSE,"DEL";"Chart",#N/A,FALSE,"STK";"Chart",#N/A,FALSE,"hr";"Chart",#N/A,FALSE,"lead"}</definedName>
    <definedName name="__ddd1" hidden="1">{"Full Sheet",#N/A,FALSE,"MATL";"Full Sheet",#N/A,FALSE,"LAB";"Full Sheet",#N/A,FALSE,"EXP";"Full Sheet",#N/A,FALSE,"QUAL";"Full Sheet",#N/A,FALSE,"DEL";"Full Sheet",#N/A,FALSE,"STK"}</definedName>
    <definedName name="__fas123" hidden="1">{"Balance Sheet",#N/A,FALSE,"Annual Summary";"Cashflows",#N/A,FALSE,"Annual Summary";"Summary Earnings",#N/A,FALSE,"Annual Summary"}</definedName>
    <definedName name="__FDS_HYPERLINK_TOGGLE_STATE__" hidden="1">"ON"</definedName>
    <definedName name="__mm2" hidden="1">{"Detailed",#N/A,FALSE,"Schedule4"}</definedName>
    <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TN01" hidden="1">{"All Departments Cost Model Summary",#N/A,FALSE,"Ttl Prjct Cost";"Prm Mgnt CM",#N/A,FALSE,"Prg Mgt";"Govt Rltns CM",#N/A,FALSE,"Govt Rltns";"HR CM",#N/A,FALSE,"HR";"B&amp;A CM",#N/A,FALSE,"B&amp;A";"Prjt Cntl CM",#N/A,FALSE,"Prjct Cntrls";"Cntct CM",#N/A,FALSE,"Cntrct";"QA CM",#N/A,FALSE,"QA";"IT CM",#N/A,FALSE,"IT";"DC CM",#N/A,FALSE,"DC";"PMM CM",#N/A,FALSE,"PMM";"HSE CM",#N/A,FALSE,"HSE";"Eng'g CM",#N/A,FALSE,"Eng'g";"Cnstrctn CM",#N/A,FALSE,"Cnstrctn";"Comm'g CM",#N/A,FALSE,"Comm'g"}</definedName>
    <definedName name="__top15" hidden="1">{#N/A,#N/A,TRUE,"Funnel";#N/A,#N/A,TRUE,"FunnelMatrix"}</definedName>
    <definedName name="__x1" hidden="1">{#N/A,#N/A,FALSE,"SGP";#N/A,#N/A,FALSE,"SGI";#N/A,#N/A,FALSE,"SGC";#N/A,#N/A,FALSE,"SGS";#N/A,#N/A,FALSE,"SGB"}</definedName>
    <definedName name="__x2" hidden="1">{#N/A,#N/A,FALSE,"SGP";#N/A,#N/A,FALSE,"SGI";#N/A,#N/A,FALSE,"SGC";#N/A,#N/A,FALSE,"SGS";#N/A,#N/A,FALSE,"SGB"}</definedName>
    <definedName name="_1__123Graph_ACHART_1" hidden="1">#REF!</definedName>
    <definedName name="_1__ƒ0ACwvu.Sommai" hidden="1">#REF!,#REF!,#REF!,#REF!,#REF!,#REF!</definedName>
    <definedName name="_1__xlnm._FilterDatabase" hidden="1">#REF!</definedName>
    <definedName name="_10__123Graph_BCHART_16" hidden="1">#REF!</definedName>
    <definedName name="_10__123Graph_BCHART_3" hidden="1">#REF!</definedName>
    <definedName name="_10__123Graph_DCHART_1" hidden="1">#REF!</definedName>
    <definedName name="_10__123Graph_LBL_ACHART_1" hidden="1">#REF!</definedName>
    <definedName name="_11__123Graph_ACHART_1" hidden="1">#REF!</definedName>
    <definedName name="_11__123Graph_BCHART_1" hidden="1">#REF!</definedName>
    <definedName name="_11__123Graph_BCHART_17" hidden="1">#REF!</definedName>
    <definedName name="_11__123Graph_LBL_ACHART_3" hidden="1">#REF!</definedName>
    <definedName name="_12__123Graph_BCHART_18" hidden="1">#REF!</definedName>
    <definedName name="_12__123Graph_BCHART_3" hidden="1">#REF!</definedName>
    <definedName name="_12__123Graph_LBL_ACHART_1" hidden="1">#REF!</definedName>
    <definedName name="_13__123Graph_BCHART_31" hidden="1">#REF!</definedName>
    <definedName name="_13__123Graph_LBL_DCHART_1" hidden="1">#REF!</definedName>
    <definedName name="_14__123Graph_ACHART_3" hidden="1">#REF!</definedName>
    <definedName name="_14__123Graph_BCHART_7" hidden="1">#REF!</definedName>
    <definedName name="_14__123Graph_DCHART_1" hidden="1">#REF!</definedName>
    <definedName name="_14__123Graph_LBL_ACHART_3" hidden="1">#REF!</definedName>
    <definedName name="_15__123Graph_Bｸﾞﾗﾌ_2" hidden="1">#REF!</definedName>
    <definedName name="_15__123Graph_DCHART_1" hidden="1">#REF!</definedName>
    <definedName name="_16__123Graph_CCHART_1" hidden="1">#REF!</definedName>
    <definedName name="_16__123Graph_LBL_DCHART_1" hidden="1">#REF!</definedName>
    <definedName name="_17__123Graph_BCHART_1" hidden="1">#REF!</definedName>
    <definedName name="_17__123Graph_CCHART_16" hidden="1">#REF!</definedName>
    <definedName name="_17__123Graph_DCHART_1" hidden="1">#REF!</definedName>
    <definedName name="_18__123Graph_BCHART_3" hidden="1">#REF!</definedName>
    <definedName name="_18__123Graph_CCHART_17" hidden="1">#REF!</definedName>
    <definedName name="_18__123Graph_LBL_ACHART_1" hidden="1">#REF!</definedName>
    <definedName name="_19__123Graph_CCHART_18" hidden="1">#REF!</definedName>
    <definedName name="_19__123Graph_LBL_ACHART_3" hidden="1">#REF!</definedName>
    <definedName name="_2__123Graph_ACHART_1" hidden="1">#REF!</definedName>
    <definedName name="_2__123Graph_ACHART_3" hidden="1">#REF!</definedName>
    <definedName name="_2__123Graph_BCHART_1" hidden="1">#REF!</definedName>
    <definedName name="_2__ƒ0Swvu.Sommai" hidden="1">#REF!,#REF!,#REF!,#REF!,#REF!,#REF!</definedName>
    <definedName name="_20__123Graph_CCHART_31" hidden="1">#REF!</definedName>
    <definedName name="_21__123Graph_Cｸﾞﾗﾌ_2" hidden="1">#REF!</definedName>
    <definedName name="_21__123Graph_LBL_ACHART_3" hidden="1">#REF!</definedName>
    <definedName name="_22__123Graph_DCHART_16" hidden="1">#REF!</definedName>
    <definedName name="_22__123Graph_LBL_ACHART_1" hidden="1">#REF!</definedName>
    <definedName name="_23__123Graph_DCHART_18" hidden="1">#REF!</definedName>
    <definedName name="_23__123Graph_LBL_ACHART_3" hidden="1">#REF!</definedName>
    <definedName name="_23__123Graph_LBL_DCHART_1" hidden="1">#REF!</definedName>
    <definedName name="_24__123Graph_DCHART_31" hidden="1">#REF!</definedName>
    <definedName name="_24__123Graph_LBL_DCHART_1" hidden="1">#REF!</definedName>
    <definedName name="_25__123Graph_BCHART_1" hidden="1">#REF!</definedName>
    <definedName name="_25__123Graph_Dｸﾞﾗﾌ_2" hidden="1">#REF!</definedName>
    <definedName name="_26__123Graph_DCHART_1" hidden="1">#REF!</definedName>
    <definedName name="_26__123Graph_ECHART_16" hidden="1">#REF!</definedName>
    <definedName name="_27__123Graph_Eｸﾞﾗﾌ_2" hidden="1">#REF!</definedName>
    <definedName name="_28__123Graph_BCHART_3" hidden="1">#REF!</definedName>
    <definedName name="_28__123Graph_Fｸﾞﾗﾌ_2" hidden="1">#REF!</definedName>
    <definedName name="_28__123Graph_LBL_DCHART_1" hidden="1">#REF!</definedName>
    <definedName name="_29__123Graph_XCHART_15" hidden="1">#REF!</definedName>
    <definedName name="_2ƒ0ACwvu.Sommai" hidden="1">#REF!,#REF!,#REF!,#REF!,#REF!,#REF!</definedName>
    <definedName name="_3__123Graph_ACHART_1" hidden="1">#REF!</definedName>
    <definedName name="_3__123Graph_ACHART_10" hidden="1">#REF!</definedName>
    <definedName name="_3__123Graph_ACHART_3" hidden="1">#REF!</definedName>
    <definedName name="_3__123Graph_BCHART_1" hidden="1">#REF!</definedName>
    <definedName name="_3__123Graph_CCHART_1" hidden="1">#REF!</definedName>
    <definedName name="_3__p0Rwvu.Sommai" hidden="1">#REF!,#REF!,#REF!,#REF!,#REF!</definedName>
    <definedName name="_30__123Graph_XCHART_17" hidden="1">#REF!</definedName>
    <definedName name="_31__123Graph_XCHART_18" hidden="1">#REF!</definedName>
    <definedName name="_32__123Graph_XCHART_31" hidden="1">#REF!</definedName>
    <definedName name="_34__123Graph_LBL_ACHART_1" hidden="1">#REF!</definedName>
    <definedName name="_35__123Graph_LBL_ACHART_3" hidden="1">#REF!</definedName>
    <definedName name="_39__123Graph_DCHART_1" hidden="1">#REF!</definedName>
    <definedName name="_3ƒ0ACwvu.Sommai" hidden="1">#REF!,#REF!,#REF!,#REF!,#REF!,#REF!</definedName>
    <definedName name="_3ƒ0Swvu.Sommai" hidden="1">#REF!,#REF!,#REF!,#REF!,#REF!,#REF!</definedName>
    <definedName name="_4__123Graph_ACHART_1" hidden="1">#REF!</definedName>
    <definedName name="_4__123Graph_ACHART_18" hidden="1">#REF!</definedName>
    <definedName name="_4__123Graph_ACHART_3" hidden="1">#REF!</definedName>
    <definedName name="_4__123Graph_BCHART_3" hidden="1">#REF!</definedName>
    <definedName name="_43__123Graph_LBL_DCHART_1" hidden="1">#REF!</definedName>
    <definedName name="_4p0Rwvu.Sommai" hidden="1">#REF!,#REF!,#REF!,#REF!,#REF!</definedName>
    <definedName name="_5__123Graph_ACHART_1" hidden="1">#REF!</definedName>
    <definedName name="_5__123Graph_ACHART_3" hidden="1">#REF!</definedName>
    <definedName name="_5__123Graph_ACHART_31" hidden="1">#REF!</definedName>
    <definedName name="_5__123Graph_BCHART_1" hidden="1">#REF!</definedName>
    <definedName name="_5__123Graph_DCHART_1" hidden="1">#REF!</definedName>
    <definedName name="_50__123Graph_LBL_ACHART_1" hidden="1">#REF!</definedName>
    <definedName name="_53__123Graph_LBL_ACHART_3" hidden="1">#REF!</definedName>
    <definedName name="_5ƒ0ACwvu.Sommai" hidden="1">#REF!,#REF!,#REF!,#REF!,#REF!,#REF!</definedName>
    <definedName name="_5ƒ0Swvu.Sommai" hidden="1">#REF!,#REF!,#REF!,#REF!,#REF!,#REF!</definedName>
    <definedName name="_6__123Graph_ACHART_3" hidden="1">#REF!</definedName>
    <definedName name="_6__123Graph_ACHART_7" hidden="1">#REF!</definedName>
    <definedName name="_6__123Graph_BCHART_1" hidden="1">#REF!</definedName>
    <definedName name="_6__123Graph_BCHART_3" hidden="1">#REF!</definedName>
    <definedName name="_6__123Graph_LBL_ACHART_1" hidden="1">#REF!</definedName>
    <definedName name="_64__123Graph_LBL_DCHART_1" hidden="1">#REF!</definedName>
    <definedName name="_6ƒ0Swvu.Sommai" hidden="1">#REF!,#REF!,#REF!,#REF!,#REF!,#REF!</definedName>
    <definedName name="_7__123Graph_ACHART_9" hidden="1">#REF!</definedName>
    <definedName name="_7__123Graph_LBL_ACHART_3" hidden="1">#REF!</definedName>
    <definedName name="_7p0Rwvu.Sommai" hidden="1">#REF!,#REF!,#REF!,#REF!,#REF!</definedName>
    <definedName name="_8__123Graph_ACHART_1" hidden="1">#REF!</definedName>
    <definedName name="_8__123Graph_Aｸﾞﾗﾌ_2" hidden="1">#REF!</definedName>
    <definedName name="_8__123Graph_BCHART_3" hidden="1">#REF!</definedName>
    <definedName name="_8__123Graph_DCHART_1" hidden="1">#REF!</definedName>
    <definedName name="_8__123Graph_LBL_DCHART_1" hidden="1">#REF!</definedName>
    <definedName name="_9__123Graph_ACHART_3" hidden="1">#REF!</definedName>
    <definedName name="_9__123Graph_BCHART_1" hidden="1">#REF!</definedName>
    <definedName name="_abc1" hidden="1">{"review",#N/A,FALSE,"FACTSHT"}</definedName>
    <definedName name="_bdm.83471B83923C446E9E69379F5FD95B16.edm" hidden="1">#REF!</definedName>
    <definedName name="_bdm.99669D738A234317A72B03CB3CE7C55E.edm" hidden="1">#REF!</definedName>
    <definedName name="_BIO1" hidden="1">{"toc1",#N/A,FALSE,"TOC";"cover",#N/A,FALSE,"Cover";"ts1",#N/A,FALSE,"Transaction Summary";"ei3",#N/A,FALSE,"Earnings Impact";"ad3",#N/A,FALSE,"accretion dilution"}</definedName>
    <definedName name="_bnm1" hidden="1">{"Full Sheet",#N/A,FALSE,"MATL";"Full Sheet",#N/A,FALSE,"LAB";"Full Sheet",#N/A,FALSE,"EXP";"Full Sheet",#N/A,FALSE,"QUAL";"Full Sheet",#N/A,FALSE,"DEL";"Full Sheet",#N/A,FALSE,"STK"}</definedName>
    <definedName name="_bvn1" hidden="1">{"Full Sheet",#N/A,FALSE,"MATL";"Full Sheet",#N/A,FALSE,"LAB";"Full Sheet",#N/A,FALSE,"EXP";"Full Sheet",#N/A,FALSE,"QUAL";"Full Sheet",#N/A,FALSE,"DEL";"Full Sheet",#N/A,FALSE,"STK"}</definedName>
    <definedName name="_bvn2" hidden="1">{"Full Sheet",#N/A,FALSE,"MATL";"Full Sheet",#N/A,FALSE,"LAB";"Full Sheet",#N/A,FALSE,"EXP";"Full Sheet",#N/A,FALSE,"QUAL";"Full Sheet",#N/A,FALSE,"DEL";"Full Sheet",#N/A,FALSE,"STK"}</definedName>
    <definedName name="_cbn1" hidden="1">{"Full Sheet",#N/A,FALSE,"MATL";"Full Sheet",#N/A,FALSE,"LAB";"Full Sheet",#N/A,FALSE,"EXP";"Full Sheet",#N/A,FALSE,"QUAL";"Full Sheet",#N/A,FALSE,"DEL";"Full Sheet",#N/A,FALSE,"STK"}</definedName>
    <definedName name="_cbv1" hidden="1">{"Chart",#N/A,FALSE,"MATL";"Chart",#N/A,FALSE,"LAB";"Chart",#N/A,FALSE,"EXP";"Chart",#N/A,FALSE,"QUAL";"Chart",#N/A,FALSE,"DEL";"Chart",#N/A,FALSE,"STK";"Chart",#N/A,FALSE,"hr";"Chart",#N/A,FALSE,"lead"}</definedName>
    <definedName name="_cvb2" hidden="1">{"Chart",#N/A,FALSE,"MATL";"Chart",#N/A,FALSE,"LAB";"Chart",#N/A,FALSE,"EXP";"Chart",#N/A,FALSE,"QUAL";"Chart",#N/A,FALSE,"DEL";"Chart",#N/A,FALSE,"STK";"Chart",#N/A,FALSE,"hr";"Chart",#N/A,FALSE,"lead"}</definedName>
    <definedName name="_ddd1" hidden="1">{"Full Sheet",#N/A,FALSE,"MATL";"Full Sheet",#N/A,FALSE,"LAB";"Full Sheet",#N/A,FALSE,"EXP";"Full Sheet",#N/A,FALSE,"QUAL";"Full Sheet",#N/A,FALSE,"DEL";"Full Sheet",#N/A,FALSE,"STK"}</definedName>
    <definedName name="_Dist_Values" hidden="1">#REF!</definedName>
    <definedName name="_end" hidden="1">#REF!</definedName>
    <definedName name="_f" hidden="1">{#N/A,#N/A,FALSE,"FIESTA";#N/A,#N/A,FALSE,"FESTIVA";#N/A,#N/A,FALSE,"MAZDA";#N/A,#N/A,FALSE,"F_SERIES";#N/A,#N/A,FALSE,"EXPLORER 97";#N/A,#N/A,FALSE,"3M6, 3M8, CM8";#N/A,#N/A,FALSE,"F7000 F8000"}</definedName>
    <definedName name="_fas123" hidden="1">{"Balance Sheet",#N/A,FALSE,"Annual Summary";"Cashflows",#N/A,FALSE,"Annual Summary";"Summary Earnings",#N/A,FALSE,"Annual Summary"}</definedName>
    <definedName name="_xlnm._FilterDatabase" localSheetId="0" hidden="1">'CASHFLOW SEMANAL'!$A$28:$O$37</definedName>
    <definedName name="_xlnm._FilterDatabase" hidden="1">#REF!</definedName>
    <definedName name="_ISR06" hidden="1">{#N/A,#N/A,TRUE,"HOJA 1 (P)";#N/A,#N/A,TRUE,"HOJA 2 (P)";#N/A,#N/A,TRUE,"HOJA 3 (P)";#N/A,#N/A,TRUE,"HOJA 4 (P)"}</definedName>
    <definedName name="_Key1" hidden="1">#REF!</definedName>
    <definedName name="_Key2" hidden="1">#REF!</definedName>
    <definedName name="_mm2" hidden="1">{"Detailed",#N/A,FALSE,"Schedule4"}</definedName>
    <definedName name="_new1" hidden="1">{"review",#N/A,FALSE,"FACTSHT"}</definedName>
    <definedName name="_new10" hidden="1">{"review",#N/A,FALSE,"FACTSHT"}</definedName>
    <definedName name="_new145" hidden="1">{"review",#N/A,FALSE,"FACTSHT"}</definedName>
    <definedName name="_new2" hidden="1">{"review",#N/A,FALSE,"FACTSHT"}</definedName>
    <definedName name="_new3" hidden="1">{"review",#N/A,FALSE,"FACTSHT"}</definedName>
    <definedName name="_new4" hidden="1">{"review",#N/A,FALSE,"FACTSHT"}</definedName>
    <definedName name="_new5" hidden="1">{"review",#N/A,FALSE,"FACTSHT"}</definedName>
    <definedName name="_new6" hidden="1">{"review",#N/A,FALSE,"FACTSHT"}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255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hare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N01" hidden="1">{"All Departments Cost Model Summary",#N/A,FALSE,"Ttl Prjct Cost";"Prm Mgnt CM",#N/A,FALSE,"Prg Mgt";"Govt Rltns CM",#N/A,FALSE,"Govt Rltns";"HR CM",#N/A,FALSE,"HR";"B&amp;A CM",#N/A,FALSE,"B&amp;A";"Prjt Cntl CM",#N/A,FALSE,"Prjct Cntrls";"Cntct CM",#N/A,FALSE,"Cntrct";"QA CM",#N/A,FALSE,"QA";"IT CM",#N/A,FALSE,"IT";"DC CM",#N/A,FALSE,"DC";"PMM CM",#N/A,FALSE,"PMM";"HSE CM",#N/A,FALSE,"HSE";"Eng'g CM",#N/A,FALSE,"Eng'g";"Cnstrctn CM",#N/A,FALSE,"Cnstrctn";"Comm'g CM",#N/A,FALSE,"Comm'g"}</definedName>
    <definedName name="_top15" hidden="1">{#N/A,#N/A,TRUE,"Funnel";#N/A,#N/A,TRUE,"FunnelMatrix"}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x1" hidden="1">{#N/A,#N/A,FALSE,"SGP";#N/A,#N/A,FALSE,"SGI";#N/A,#N/A,FALSE,"SGC";#N/A,#N/A,FALSE,"SGS";#N/A,#N/A,FALSE,"SGB"}</definedName>
    <definedName name="_x2" hidden="1">{#N/A,#N/A,FALSE,"SGP";#N/A,#N/A,FALSE,"SGI";#N/A,#N/A,FALSE,"SGC";#N/A,#N/A,FALSE,"SGS";#N/A,#N/A,FALSE,"SGB"}</definedName>
    <definedName name="_X20" hidden="1">{#N/A,#N/A,FALSE,"SGP";#N/A,#N/A,FALSE,"SGI";#N/A,#N/A,FALSE,"SGC";#N/A,#N/A,FALSE,"SGS";#N/A,#N/A,FALSE,"SGB"}</definedName>
    <definedName name="_X21" hidden="1">{#N/A,#N/A,FALSE,"SGP";#N/A,#N/A,FALSE,"SGI";#N/A,#N/A,FALSE,"SGC";#N/A,#N/A,FALSE,"SGS";#N/A,#N/A,FALSE,"SGB"}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acat" hidden="1">{"works expense",#N/A,FALSE,"WORKS EXPENSE"}</definedName>
    <definedName name="abacate" hidden="1">{"works expense",#N/A,FALSE,"WORKS EXPENSE"}</definedName>
    <definedName name="abacate1" hidden="1">{"works expense",#N/A,FALSE,"WORKS EXPENSE"}</definedName>
    <definedName name="abacate2" hidden="1">{"works expense",#N/A,FALSE,"WORKS EXPENSE"}</definedName>
    <definedName name="abc" hidden="1">{"review",#N/A,FALSE,"FACTSHT"}</definedName>
    <definedName name="abcd" hidden="1">{"review",#N/A,FALSE,"FACTSHT"}</definedName>
    <definedName name="abcs" hidden="1">{"review",#N/A,FALSE,"FACTSHT"}</definedName>
    <definedName name="ABRACADABRA" hidden="1">#REF!</definedName>
    <definedName name="ac" hidden="1">#REF!</definedName>
    <definedName name="Access_Button" hidden="1">"CONSOL_SIM_List"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"G:\account\96CONSOL\CONSOL.mdb"</definedName>
    <definedName name="ActFijosMex" hidden="1">{"ConsL",#N/A,FALSE,"Balance Sheet (Lenders)";"ALL",#N/A,FALSE,"Balance Sheet (Lenders)";"CPTL",#N/A,FALSE,"Balance Sheet (Lenders)"}</definedName>
    <definedName name="ACwvu.Détails." hidden="1">#REF!</definedName>
    <definedName name="ACwvu.Sommaire." hidden="1">#REF!,#REF!,#REF!,#REF!,#REF!,#REF!</definedName>
    <definedName name="ad" hidden="1">#REF!</definedName>
    <definedName name="ADAD" hidden="1">{#N/A,#N/A,TRUE,"HOJA 1 (P)";#N/A,#N/A,TRUE,"HOJA 2 (P)";#N/A,#N/A,TRUE,"HOJA 3 (P)";#N/A,#N/A,TRUE,"HOJA 4 (P)"}</definedName>
    <definedName name="addg" hidden="1">{#N/A,#N/A,FALSE,"CBE";#N/A,#N/A,FALSE,"SWK"}</definedName>
    <definedName name="aDfa" hidden="1">{#N/A,#N/A,FALSE,"Aging Summary";#N/A,#N/A,FALSE,"Ratio Analysis";#N/A,#N/A,FALSE,"Test 120 Day Accts";#N/A,#N/A,FALSE,"Tickmarks"}</definedName>
    <definedName name="adfdsf" hidden="1">{"profit statement",#N/A,FALSE,"P&amp;L STATEMENT"}</definedName>
    <definedName name="ae" hidden="1">#REF!</definedName>
    <definedName name="aefaesfeas" hidden="1">{"works expense",#N/A,FALSE,"WORKS EXPENSE"}</definedName>
    <definedName name="af" hidden="1">{#N/A,#N/A,TRUE,"Cover  Page";#N/A,#N/A,TRUE,"DAILY  RATE";#N/A,#N/A,TRUE,"Comprod";#N/A,#N/A,TRUE,"Monthly Prod ´01";#N/A,#N/A,TRUE,"Calendar Year  2001";#N/A,#N/A,TRUE,"Monthly Rate ´01";#N/A,#N/A,TRUE,"VENEZUELA";#N/A,#N/A,TRUE,"COLOMBIA";#N/A,#N/A,TRUE,"ECUADOR"}</definedName>
    <definedName name="afadsf" hidden="1">{"works expense",#N/A,FALSE,"WORKS EXPENSE"}</definedName>
    <definedName name="afasdf" hidden="1">{"works expense",#N/A,FALSE,"WORKS EXPENSE"}</definedName>
    <definedName name="afdsafasdf" hidden="1">{"capital",#N/A,FALSE,"CAPITAL_DEP'N"}</definedName>
    <definedName name="ag" hidden="1">{#N/A,#N/A,TRUE,"Cover  Page";#N/A,#N/A,TRUE,"PRODCAL";#N/A,#N/A,TRUE,"BUDGET";#N/A,#N/A,TRUE,"PRODMOD";#N/A,#N/A,TRUE,"JPD";#N/A,#N/A,TRUE,"DAILY  RATE";#N/A,#N/A,TRUE,"Comprod";#N/A,#N/A,TRUE,"Monthly Rate ´99";#N/A,#N/A,TRUE,"Monthly Prod ´99";#N/A,#N/A,TRUE,"PROG. BY MOD. YEAR";#N/A,#N/A,TRUE,"VENEZUELA";#N/A,#N/A,TRUE,"COLOMBIA";#N/A,#N/A,TRUE,"ECUADOR";#N/A,#N/A,TRUE,"Calendar Year  1999"}</definedName>
    <definedName name="ah" hidden="1">{#N/A,#N/A,TRUE,"MEMO";#N/A,#N/A,TRUE,"COMMITMENT";#N/A,#N/A,TRUE,"PRODCAL";#N/A,#N/A,TRUE,"BUDGET";#N/A,#N/A,TRUE,"PRODMOD";#N/A,#N/A,TRUE,"JPD";#N/A,#N/A,TRUE,"DAILY  RATE";#N/A,#N/A,TRUE,"Comprod";#N/A,#N/A,TRUE,"Monthly Rate ´98";#N/A,#N/A,TRUE,"Monthly Prod ´98";#N/A,#N/A,TRUE,"PROG. BY MOD. YEAR";#N/A,#N/A,TRUE,"VENEZUELA";#N/A,#N/A,TRUE,"COLOMBIA";#N/A,#N/A,TRUE,"ECUADOR";#N/A,#N/A,TRUE,"Calendar Year  1998"}</definedName>
    <definedName name="ai" hidden="1">{#N/A,#N/A,TRUE,"Cover  Page";#N/A,#N/A,TRUE,"DAILY  RATE";#N/A,#N/A,TRUE,"Comprod";#N/A,#N/A,TRUE,"Monthly Prod ´99";#N/A,#N/A,TRUE,"Monthly Rate ´99";#N/A,#N/A,TRUE,"ENDDIA99";#N/A,#N/A,TRUE,"Calendar Year  1999"}</definedName>
    <definedName name="allo" hidden="1">{"Detailed",#N/A,FALSE,"Schedule4"}</definedName>
    <definedName name="am" hidden="1">#REF!</definedName>
    <definedName name="AMAZON" hidden="1">{#N/A,#N/A,TRUE,"Cover  Page";#N/A,#N/A,TRUE,"DAILY  RATE";#N/A,#N/A,TRUE,"Comprod";#N/A,#N/A,TRUE,"Monthly Rate ´98";#N/A,#N/A,TRUE,"Monthly Prod ´98";#N/A,#N/A,TRUE,"ENDDIA98";#N/A,#N/A,TRUE,"Calendar Year  1998";#N/A,#N/A,TRUE,"VENEZUELA";#N/A,#N/A,TRUE,"COLOMBIA";#N/A,#N/A,TRUE,"ECUADOR"}</definedName>
    <definedName name="amsa" hidden="1">{"Full Sheet",#N/A,FALSE,"MATL";"Full Sheet",#N/A,FALSE,"LAB";"Full Sheet",#N/A,FALSE,"EXP";"Full Sheet",#N/A,FALSE,"QUAL";"Full Sheet",#N/A,FALSE,"DEL";"Full Sheet",#N/A,FALSE,"STK"}</definedName>
    <definedName name="anscount" hidden="1">1</definedName>
    <definedName name="ap" hidden="1">{"'0103'!$A$455:$O$585"}</definedName>
    <definedName name="APag_sheet0" hidden="1">"'Hoja2'
0
"</definedName>
    <definedName name="APag_sheets" hidden="1">1</definedName>
    <definedName name="arfwer" hidden="1">{#N/A,#N/A,TRUE,"Pro Forma";#N/A,#N/A,TRUE,"PF_Bal";#N/A,#N/A,TRUE,"PF_INC";#N/A,#N/A,TRUE,"CBE";#N/A,#N/A,TRUE,"SWK"}</definedName>
    <definedName name="as" hidden="1">{"comp1",#N/A,FALSE,"COMPS";"footnotes",#N/A,FALSE,"COMPS"}</definedName>
    <definedName name="AS2NamedRange" hidden="1">39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" hidden="1">{"away stand alones",#N/A,FALSE,"Target"}</definedName>
    <definedName name="ASAS" hidden="1">{#N/A,#N/A,FALSE,"Assumptions";#N/A,#N/A,FALSE,"Volumes";#N/A,#N/A,FALSE,"Pricing";#N/A,#N/A,FALSE,"Variable Cost";#N/A,#N/A,FALSE,"Investment";#N/A,#N/A,FALSE,"Profitability";#N/A,#N/A,FALSE,"Business Comparison"}</definedName>
    <definedName name="asasa" hidden="1">{"sga expense",#N/A,FALSE,"S,G&amp;A EXP"}</definedName>
    <definedName name="asdasd" hidden="1">{"toc1",#N/A,FALSE,"TOC";"cover",#N/A,FALSE,"Cover";"ts1",#N/A,FALSE,"Transaction Summary";"ei3",#N/A,FALSE,"Earnings Impact";"ad3",#N/A,FALSE,"accretion dilution"}</definedName>
    <definedName name="asdf" hidden="1">{#N/A,#N/A,FALSE,"Calc";#N/A,#N/A,FALSE,"Sensitivity";#N/A,#N/A,FALSE,"LT Earn.Dil.";#N/A,#N/A,FALSE,"Dil. AVP"}</definedName>
    <definedName name="asdfaefe" hidden="1">{"profit statement",#N/A,FALSE,"P&amp;L STATEMENT"}</definedName>
    <definedName name="asdfasdf" hidden="1">{"sga expense",#N/A,FALSE,"S,G&amp;A EXP"}</definedName>
    <definedName name="asdfsadf" hidden="1">{"product cost",#N/A,FALSE,"P&amp;L STATEMENT"}</definedName>
    <definedName name="asdre.dlfjdsf" hidden="1">{"product cost",#N/A,FALSE,"P&amp;L STATEMENT"}</definedName>
    <definedName name="asfsadfadsf" hidden="1">{"manpower",#N/A,FALSE,"MANPOWER_PAYROLL"}</definedName>
    <definedName name="asfsadfasdf" hidden="1">{"profit statement",#N/A,FALSE,"P&amp;L STATEMENT"}</definedName>
    <definedName name="assas" hidden="1">{#N/A,#N/A,TRUE,"Cover  Page";#N/A,#N/A,TRUE,"DAILY  RATE";#N/A,#N/A,TRUE,"Comprod";#N/A,#N/A,TRUE,"Monthly Rate ´98";#N/A,#N/A,TRUE,"Monthly Prod ´98";#N/A,#N/A,TRUE,"ENDDIA98";#N/A,#N/A,TRUE,"Calendar Year  1998";#N/A,#N/A,TRUE,"VENEZUELA";#N/A,#N/A,TRUE,"COLOMBIA";#N/A,#N/A,TRUE,"ECUADOR"}</definedName>
    <definedName name="avdd" hidden="1">{#N/A,#N/A,FALSE,"Calc";#N/A,#N/A,FALSE,"Sensitivity";#N/A,#N/A,FALSE,"LT Earn.Dil.";#N/A,#N/A,FALSE,"Dil. AVP"}</definedName>
    <definedName name="aw" hidden="1">#REF!</definedName>
    <definedName name="ax" hidden="1">#REF!</definedName>
    <definedName name="az" hidden="1">#REF!</definedName>
    <definedName name="BALANCE2" hidden="1">{#N/A,#N/A,TRUE,"HOJA 1 (P)";#N/A,#N/A,TRUE,"HOJA 2 (P)";#N/A,#N/A,TRUE,"HOJA 3 (P)";#N/A,#N/A,TRUE,"HOJA 4 (P)"}</definedName>
    <definedName name="bbb" hidden="1">{"A COM Detail YTD",#N/A,FALSE,"DATA";"B Exp Detail YTD",#N/A,FALSE,"DATA";"C COM Detail Qtr of",#N/A,FALSE,"DATA";"D Exp Detail Qtr of",#N/A,FALSE,"DATA";"A Performance Report",#N/A,FALSE,"%Performance"}</definedName>
    <definedName name="bbdc" hidden="1">#REF!</definedName>
    <definedName name="Best" hidden="1">{"Chart",#N/A,FALSE,"MATL";"Chart",#N/A,FALSE,"LAB";"Chart",#N/A,FALSE,"EXP";"Chart",#N/A,FALSE,"QUAL";"Chart",#N/A,FALSE,"DEL";"Chart",#N/A,FALSE,"STK";"Chart",#N/A,FALSE,"hr";"Chart",#N/A,FALSE,"lead"}</definedName>
    <definedName name="bf" hidden="1">#REF!</definedName>
    <definedName name="BFOC" hidden="1">{"'0103'!$A$455:$O$585"}</definedName>
    <definedName name="BG_Del" hidden="1">15</definedName>
    <definedName name="BG_Ins" hidden="1">4</definedName>
    <definedName name="BG_Mod" hidden="1">6</definedName>
    <definedName name="bh" hidden="1">#REF!</definedName>
    <definedName name="bk" hidden="1">#REF!</definedName>
    <definedName name="blabla" hidden="1">{"HO_sum_e",#N/A,FALSE,"Headoffice Summary";"Admin_sum_e",#N/A,FALSE,"ADMIN Sum";"Admin01_e",#N/A,FALSE,"ADMIN01";"Admin02_e",#N/A,FALSE,"ADMIN02";"AUXRE_e",#N/A,FALSE,"AUXRE";"CORAL_e",#N/A,FALSE,"CORAL";"GENGM_e",#N/A,FALSE,"GENGM";"HUMRE_sum_e",#N/A,FALSE,"HUMRE Sum";"HUMRE_01_e",#N/A,FALSE,"HUMRE01";"HUMRE01_e",#N/A,FALSE,"HUMRE02";"HUMRE03_e",#N/A,FALSE,"HUMRE03";"HUMRE04_e",#N/A,FALSE,"HUMRE04";"LGLGM_e",#N/A,FALSE,"LGLGM";"MKTGL_sum_e",#N/A,FALSE,"MKTGL Sum";"MKTGL01_e",#N/A,FALSE,"MKTGL01";"MKTGL02_e",#N/A,FALSE,"MKTGL02";"MKTGL03_e",#N/A,FALSE,"MKTGL03";"MKTGL04_e",#N/A,FALSE,"MKTGL04";"PRJDV_sum_e",#N/A,FALSE,"PRJDV Sum";"PRDJV01_e",#N/A,FALSE,"PRJDV01";"PRJDV02_e",#N/A,FALSE,"PRJDV02";"MKTSL_e",#N/A,FALSE,"MKTSL";"Publicity_e",#N/A,FALSE,"PUBLICITY";"Training_e",#N/A,FALSE,"Training"}</definedName>
    <definedName name="bm" hidden="1">#REF!</definedName>
    <definedName name="bnkj" hidden="1">{#N/A,#N/A,FALSE,"output";#N/A,#N/A,FALSE,"contrib";#N/A,#N/A,FALSE,"profile";#N/A,#N/A,FALSE,"comps"}</definedName>
    <definedName name="bnm" hidden="1">{"Full Sheet",#N/A,FALSE,"MATL";"Full Sheet",#N/A,FALSE,"LAB";"Full Sheet",#N/A,FALSE,"EXP";"Full Sheet",#N/A,FALSE,"QUAL";"Full Sheet",#N/A,FALSE,"DEL";"Full Sheet",#N/A,FALSE,"STK"}</definedName>
    <definedName name="bq" hidden="1">#REF!</definedName>
    <definedName name="bs" hidden="1">#REF!</definedName>
    <definedName name="bst" hidden="1">{"Chart",#N/A,FALSE,"MATL";"Chart",#N/A,FALSE,"LAB";"Chart",#N/A,FALSE,"EXP";"Chart",#N/A,FALSE,"QUAL";"Chart",#N/A,FALSE,"DEL";"Chart",#N/A,FALSE,"STK";"Chart",#N/A,FALSE,"hr";"Chart",#N/A,FALSE,"lead"}</definedName>
    <definedName name="buildup" hidden="1">{"capital",#N/A,FALSE,"CAPITAL_DEP'N"}</definedName>
    <definedName name="bvn" hidden="1">{"Full Sheet",#N/A,FALSE,"MATL";"Full Sheet",#N/A,FALSE,"LAB";"Full Sheet",#N/A,FALSE,"EXP";"Full Sheet",#N/A,FALSE,"QUAL";"Full Sheet",#N/A,FALSE,"DEL";"Full Sheet",#N/A,FALSE,"STK"}</definedName>
    <definedName name="bx" hidden="1">#REF!</definedName>
    <definedName name="bxcvb" hidden="1">{"profit statement",#N/A,FALSE,"P&amp;L STATEMENT"}</definedName>
    <definedName name="byproduct" hidden="1">#REF!</definedName>
    <definedName name="Cable" hidden="1">{#N/A,#N/A,FALSE,"Operations";#N/A,#N/A,FALSE,"Financials"}</definedName>
    <definedName name="Cable2" hidden="1">{#N/A,#N/A,FALSE,"Operations";#N/A,#N/A,FALSE,"Financials"}</definedName>
    <definedName name="cads" hidden="1">{"profit statement",#N/A,FALSE,"P&amp;L STATEMENT"}</definedName>
    <definedName name="camila" hidden="1">{"capital",#N/A,FALSE,"CAPITAL_DEP'N"}</definedName>
    <definedName name="Card" hidden="1">{"Full Sheet",#N/A,FALSE,"MATL";"Full Sheet",#N/A,FALSE,"LAB";"Full Sheet",#N/A,FALSE,"EXP";"Full Sheet",#N/A,FALSE,"QUAL";"Full Sheet",#N/A,FALSE,"DEL";"Full Sheet",#N/A,FALSE,"STK"}</definedName>
    <definedName name="card1" hidden="1">{"Full Sheet",#N/A,FALSE,"MATL";"Full Sheet",#N/A,FALSE,"LAB";"Full Sheet",#N/A,FALSE,"EXP";"Full Sheet",#N/A,FALSE,"QUAL";"Full Sheet",#N/A,FALSE,"DEL";"Full Sheet",#N/A,FALSE,"STK"}</definedName>
    <definedName name="cbv" hidden="1">{"Chart",#N/A,FALSE,"MATL";"Chart",#N/A,FALSE,"LAB";"Chart",#N/A,FALSE,"EXP";"Chart",#N/A,FALSE,"QUAL";"Chart",#N/A,FALSE,"DEL";"Chart",#N/A,FALSE,"STK";"Chart",#N/A,FALSE,"hr";"Chart",#N/A,FALSE,"lead"}</definedName>
    <definedName name="cc" hidden="1">{#N/A,#N/A,FALSE,"CBE";#N/A,#N/A,FALSE,"SWK"}</definedName>
    <definedName name="CD" hidden="1">{"'0103'!$A$455:$O$585"}</definedName>
    <definedName name="charlie" hidden="1">#REF!</definedName>
    <definedName name="CIQWBGuid" hidden="1">"b9e65f52-1c9b-4a83-936e-05838f8d0a40"</definedName>
    <definedName name="cirque" hidden="1">{"Detailed",#N/A,FALSE,"Schedule4"}</definedName>
    <definedName name="cobranza1" hidden="1">{#N/A,#N/A,TRUE,"HOJA 1 (P)";#N/A,#N/A,TRUE,"HOJA 2 (P)";#N/A,#N/A,TRUE,"HOJA 3 (P)";#N/A,#N/A,TRUE,"HOJA 4 (P)"}</definedName>
    <definedName name="cooper2" hidden="1">{#N/A,#N/A,TRUE,"Pro Forma";#N/A,#N/A,TRUE,"PF_Bal";#N/A,#N/A,TRUE,"PF_INC";#N/A,#N/A,TRUE,"CBE";#N/A,#N/A,TRUE,"SWK"}</definedName>
    <definedName name="corey" hidden="1">#REF!</definedName>
    <definedName name="costocel" hidden="1">#REF!</definedName>
    <definedName name="crazy" hidden="1">#REF!</definedName>
    <definedName name="creator" hidden="1">{"Detailed",#N/A,FALSE,"Schedule4"}</definedName>
    <definedName name="ct" hidden="1">#REF!</definedName>
    <definedName name="cv" hidden="1">{"Full Sheet",#N/A,FALSE,"MATL";"Full Sheet",#N/A,FALSE,"LAB";"Full Sheet",#N/A,FALSE,"EXP";"Full Sheet",#N/A,FALSE,"QUAL";"Full Sheet",#N/A,FALSE,"DEL";"Full Sheet",#N/A,FALSE,"STK"}</definedName>
    <definedName name="cvb" hidden="1">{"toc1",#N/A,FALSE,"TOC";"cover",#N/A,FALSE,"Cover";"ts1",#N/A,FALSE,"Transaction Summary";"ei3",#N/A,FALSE,"Earnings Impact";"ad3",#N/A,FALSE,"accretion dilution"}</definedName>
    <definedName name="cvbcsvbsdfb" hidden="1">{"manpower",#N/A,FALSE,"MANPOWER_PAYROLL"}</definedName>
    <definedName name="cvbn" hidden="1">{"Full Sheet",#N/A,FALSE,"MATL";"Full Sheet",#N/A,FALSE,"LAB";"Full Sheet",#N/A,FALSE,"EXP";"Full Sheet",#N/A,FALSE,"QUAL";"Full Sheet",#N/A,FALSE,"DEL";"Full Sheet",#N/A,FALSE,"STK"}</definedName>
    <definedName name="cxnbxcb" hidden="1">{"sga expense",#N/A,FALSE,"S,G&amp;A EXP"}</definedName>
    <definedName name="da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na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TA_sheet0" hidden="1">"'Reports Units_Global_Month '
0
"</definedName>
    <definedName name="DATA_sheets" hidden="1">1</definedName>
    <definedName name="dd" hidden="1">{"works expense",#N/A,FALSE,"WORKS EXPENSE"}</definedName>
    <definedName name="dddd" hidden="1">{#N/A,#N/A,FALSE,"Profit Status";#N/A,#N/A,FALSE,"Invest";#N/A,#N/A,FALSE,"Revenue";#N/A,#N/A,FALSE,"Variable Cost";#N/A,#N/A,FALSE,"Options &amp; Series"}</definedName>
    <definedName name="delet4e" hidden="1">{#N/A,#N/A,FALSE,"GCM Data Sum";#N/A,#N/A,FALSE,"TIC-Calculation";#N/A,#N/A,FALSE,"TIC  Multiples";#N/A,#N/A,FALSE,"P-E &amp; Price to Book Multiples";#N/A,#N/A,FALSE,"Margins-EBITDA-to-Growth"}</definedName>
    <definedName name="delete4" hidden="1">{#N/A,#N/A,FALSE,"Projected Data &amp; SUBJECT-INPUTS"}</definedName>
    <definedName name="dfd" hidden="1">{"comp1",#N/A,FALSE,"COMPS";"footnotes",#N/A,FALSE,"COMPS"}</definedName>
    <definedName name="dfdfd" hidden="1">{"Financial View",#N/A,FALSE,"Annual";"BS, CF, assns view",#N/A,FALSE,"BS and SCF";"DCF view",#N/A,FALSE,"Valuation";"Sensitivity View",#N/A,FALSE,"Valuation"}</definedName>
    <definedName name="dfghjkl" hidden="1">{"Full Sheet",#N/A,FALSE,"MATL";"Full Sheet",#N/A,FALSE,"LAB";"Full Sheet",#N/A,FALSE,"EXP";"Full Sheet",#N/A,FALSE,"QUAL";"Full Sheet",#N/A,FALSE,"DEL";"Full Sheet",#N/A,FALSE,"STK"}</definedName>
    <definedName name="dfghjklñ" hidden="1">{"Full Sheet",#N/A,FALSE,"MATL";"Full Sheet",#N/A,FALSE,"LAB";"Full Sheet",#N/A,FALSE,"EXP";"Full Sheet",#N/A,FALSE,"QUAL";"Full Sheet",#N/A,FALSE,"DEL";"Full Sheet",#N/A,FALSE,"STK"}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gv" hidden="1">{"Full Sheet",#N/A,FALSE,"MATL";"Full Sheet",#N/A,FALSE,"LAB";"Full Sheet",#N/A,FALSE,"EXP";"Full Sheet",#N/A,FALSE,"QUAL";"Full Sheet",#N/A,FALSE,"DEL";"Full Sheet",#N/A,FALSE,"STK"}</definedName>
    <definedName name="dfs" hidden="1">{"capital",#N/A,FALSE,"CAPITAL_DEP'N"}</definedName>
    <definedName name="dgbdsfgrsd" hidden="1">{"profit statement",#N/A,FALSE,"P&amp;L STATEMENT"}</definedName>
    <definedName name="Discount" hidden="1">#REF!</definedName>
    <definedName name="display_area_2" hidden="1">#REF!</definedName>
    <definedName name="dogdish" hidden="1">#REF!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tu" hidden="1">{#N/A,#N/A,TRUE,"financial";#N/A,#N/A,TRUE,"plants"}</definedName>
    <definedName name="ed5dyx" hidden="1">{#N/A,#N/A,FALSE,"CBE";#N/A,#N/A,FALSE,"SWK"}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f" hidden="1">{"A COM Detail YTD",#N/A,FALSE,"DATA";"B Exp Detail YTD",#N/A,FALSE,"DATA";"C COM Detail Qtr of",#N/A,FALSE,"DATA";"D Exp Detail Qtr of",#N/A,FALSE,"DATA";"A Performance Report",#N/A,FALSE,"%Performance"}</definedName>
    <definedName name="efefesaf" hidden="1">{"sga expense",#N/A,FALSE,"S,G&amp;A EXP"}</definedName>
    <definedName name="eg" hidden="1">{"A COM Detail YTD",#N/A,FALSE,"DATA";"B Exp Detail YTD",#N/A,FALSE,"DATA";"C COM Detail Qtr of",#N/A,FALSE,"DATA";"D Exp Detail Qtr of",#N/A,FALSE,"DATA";"A Performance Report",#N/A,FALSE,"%Performance"}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mily" hidden="1">{#N/A,#N/A,FALSE,"Calc";#N/A,#N/A,FALSE,"Sensitivity";#N/A,#N/A,FALSE,"LT Earn.Dil.";#N/A,#N/A,FALSE,"Dil. AVP"}</definedName>
    <definedName name="ERROR" hidden="1">{#N/A,#N/A,TRUE,"Cover  Page";#N/A,#N/A,TRUE,"DAILY  RATE";#N/A,#N/A,TRUE,"Comprod";#N/A,#N/A,TRUE,"Monthly Rate ´98";#N/A,#N/A,TRUE,"Monthly Prod ´98";#N/A,#N/A,TRUE,"ENDDIA98";#N/A,#N/A,TRUE,"Calendar Year  1998";#N/A,#N/A,TRUE,"VENEZUELA";#N/A,#N/A,TRUE,"COLOMBIA";#N/A,#N/A,TRUE,"ECUADOR"}</definedName>
    <definedName name="ERROR1" hidden="1">{#N/A,#N/A,TRUE,"Cover  Page";#N/A,#N/A,TRUE,"DAILY  RATE";#N/A,#N/A,TRUE,"Comprod";#N/A,#N/A,TRUE,"Monthly Prod ´99";#N/A,#N/A,TRUE,"Monthly Rate ´99";#N/A,#N/A,TRUE,"ENDDIA99";#N/A,#N/A,TRUE,"Calendar Year  1999"}</definedName>
    <definedName name="ERROR2" hidden="1">{#N/A,#N/A,TRUE,"Cover  Page";#N/A,#N/A,TRUE,"DAILY  RATE";#N/A,#N/A,TRUE,"Comprod";#N/A,#N/A,TRUE,"Monthly Rate ´98";#N/A,#N/A,TRUE,"Monthly Prod ´98";#N/A,#N/A,TRUE,"ENDDIA98";#N/A,#N/A,TRUE,"Calendar Year  1998";#N/A,#N/A,TRUE,"VENEZUELA";#N/A,#N/A,TRUE,"COLOMBIA";#N/A,#N/A,TRUE,"ECUADOR"}</definedName>
    <definedName name="ERROR3" hidden="1">{#N/A,#N/A,TRUE,"Cover  Page";#N/A,#N/A,TRUE,"DAILY  RATE";#N/A,#N/A,TRUE,"Comprod";#N/A,#N/A,TRUE,"Monthly Prod ´99";#N/A,#N/A,TRUE,"Monthly Rate ´99";#N/A,#N/A,TRUE,"ENDDIA99";#N/A,#N/A,TRUE,"Calendar Year  1999"}</definedName>
    <definedName name="ERROR4" hidden="1">{#N/A,#N/A,TRUE,"Cover  Page";#N/A,#N/A,TRUE,"DAILY  RATE";#N/A,#N/A,TRUE,"Comprod";#N/A,#N/A,TRUE,"Monthly Prod ´01";#N/A,#N/A,TRUE,"Calendar Year  2001"}</definedName>
    <definedName name="ERROR5" hidden="1">{#N/A,#N/A,TRUE,"Cover  Page";#N/A,#N/A,TRUE,"DAILY  RATE";#N/A,#N/A,TRUE,"Comprod";#N/A,#N/A,TRUE,"Monthly Prod ´01";#N/A,#N/A,TRUE,"Calendar Year  2001";#N/A,#N/A,TRUE,"Monthly Rate ´01";#N/A,#N/A,TRUE,"VENEZUELA";#N/A,#N/A,TRUE,"COLOMBIA";#N/A,#N/A,TRUE,"ECUADOR"}</definedName>
    <definedName name="EV__CVPARAMS__" hidden="1">"Trend!$B$17:$C$38;"</definedName>
    <definedName name="EV__EXPOPTIONS__" hidden="1">0</definedName>
    <definedName name="EV__LASTREFTIME__" hidden="1">38730.4229050925</definedName>
    <definedName name="EV__LOCKEDCVW__FINANCE" hidden="1">"APTrade,DIPBudget,LC,Carpet_Acoustics_NA,TOT_Func,ALL_Interco,2007.JAN,YTD,"</definedName>
    <definedName name="EV__LOCKEDCVW__RATE" hidden="1">"ACTUAL,ARS,Avg,TotalEntity2,2003.TOTAL,PERIODIC,"</definedName>
    <definedName name="EV__LOCKSTATUS__" hidden="1">1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134217728</definedName>
    <definedName name="EV__WBVERSION__" hidden="1">0</definedName>
    <definedName name="ev.Calculation" hidden="1">-4105</definedName>
    <definedName name="ev.Initialized" hidden="1">FALSE</definedName>
    <definedName name="ExchangeRate_sheet0" hidden="1">"'ExchangeRate'
0
"</definedName>
    <definedName name="ExchangeRate_sheets" hidden="1">1</definedName>
    <definedName name="exrate_sheet0" hidden="1">"'exrate'
0
"</definedName>
    <definedName name="exrate_sheets" hidden="1">1</definedName>
    <definedName name="eyr" hidden="1">{"hiden",#N/A,FALSE,"14";"hidden",#N/A,FALSE,"16";"hidden",#N/A,FALSE,"18";"hidden",#N/A,FALSE,"20"}</definedName>
    <definedName name="f.sdfg" hidden="1">{"sga expense",#N/A,FALSE,"S,G&amp;A EXP"}</definedName>
    <definedName name="FCode" hidden="1">#REF!</definedName>
    <definedName name="fd" hidden="1">#REF!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gdfg" hidden="1">{"works expense",#N/A,FALSE,"WORKS EXPENSE"}</definedName>
    <definedName name="fds" hidden="1">{"comps",#N/A,FALSE,"comps";"notes",#N/A,FALSE,"comps"}</definedName>
    <definedName name="fdsf" hidden="1">{"general",#N/A,FALSE,"Assumptions"}</definedName>
    <definedName name="ffff" hidden="1">{"comps",#N/A,FALSE,"comps";"notes",#N/A,FALSE,"comps"}</definedName>
    <definedName name="fg" hidden="1">#REF!</definedName>
    <definedName name="fghgf" hidden="1">{"product cost",#N/A,FALSE,"P&amp;L STATEMENT"}</definedName>
    <definedName name="fgrg" hidden="1">{"manpower",#N/A,FALSE,"MANPOWER_PAYROLL"}</definedName>
    <definedName name="fh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filter" hidden="1">#REF!</definedName>
    <definedName name="find" hidden="1">#REF!</definedName>
    <definedName name="Finish" hidden="1">{"Pgm Mngt S/P",#N/A,FALSE,"Prg Mgt";"Govt Rltns S/P",#N/A,FALSE,"Govt Rltns";"HR S/P",#N/A,FALSE,"HR";"B&amp;A S/P",#N/A,FALSE,"B&amp;A";"Prjt Cntrl S/P",#N/A,FALSE,"Prjct Cntrls";"Contracts S/P",#N/A,FALSE,"Cntrct";"QA S/P",#N/A,FALSE,"QA";"IT S/P",#N/A,FALSE,"IT";"DC S/P",#N/A,FALSE,"DC";"PMM S/P",#N/A,FALSE,"PMM";"HSE S/P",#N/A,FALSE,"HSE";"ENG'G S/P",#N/A,FALSE,"Eng'g";"Comm'g S/P",#N/A,FALSE,"Comm'g";"Const SP",#N/A,FALSE,"Cnstrctn";"Construction SP1",#N/A,FALSE,"Cnstrctn"}</definedName>
    <definedName name="fins1" hidden="1">{#N/A,#N/A,FALSE,"Calc";#N/A,#N/A,FALSE,"Sensitivity";#N/A,#N/A,FALSE,"LT Earn.Dil.";#N/A,#N/A,FALSE,"Dil. AVP"}</definedName>
    <definedName name="fixed_assets" hidden="1">{"Detailed",#N/A,FALSE,"Schedule4"}</definedName>
    <definedName name="fjklds" hidden="1">{"capital",#N/A,FALSE,"CAPITAL_DEP'N"}</definedName>
    <definedName name="fsdf" hidden="1">{"Detailed",#N/A,FALSE,"Schedule4"}</definedName>
    <definedName name="fsdfs" hidden="1">{#N/A,#N/A,FALSE,"Profit Status";#N/A,#N/A,FALSE,"Invest";#N/A,#N/A,FALSE,"Revenue";#N/A,#N/A,FALSE,"Variable Cost";#N/A,#N/A,FALSE,"Options &amp; Series"}</definedName>
    <definedName name="fsdvnslc.asdfkusad" hidden="1">{"works expense",#N/A,FALSE,"WORKS EXPENSE"}</definedName>
    <definedName name="g" hidden="1">{"works expense",#N/A,FALSE,"WORKS EXPENSE"}</definedName>
    <definedName name="gf" hidden="1">#REF!</definedName>
    <definedName name="gg" hidden="1">#REF!</definedName>
    <definedName name="ggf" hidden="1">{"comps",#N/A,FALSE,"comps";"notes",#N/A,FALSE,"comps"}</definedName>
    <definedName name="ggnhfrgerwgt2464" hidden="1">{#N/A,#N/A,TRUE,"Cover  Page";#N/A,#N/A,TRUE,"DAILY  RATE";#N/A,#N/A,TRUE,"Comprod";#N/A,#N/A,TRUE,"Monthly Prod ´01";#N/A,#N/A,TRUE,"Calendar Year  2001";#N/A,#N/A,TRUE,"Monthly Rate ´01";#N/A,#N/A,TRUE,"VENEZUELA";#N/A,#N/A,TRUE,"COLOMBIA";#N/A,#N/A,TRUE,"ECUADOR"}</definedName>
    <definedName name="gh" hidden="1">{"works expense",#N/A,FALSE,"WORKS EXPENSE"}</definedName>
    <definedName name="ghjgf" hidden="1">{"manpower",#N/A,FALSE,"MANPOWER_PAYROLL"}</definedName>
    <definedName name="GlobalF1_sheet0" hidden="1">"'globalF1'
0
"</definedName>
    <definedName name="GlobalF1_sheets" hidden="1">1</definedName>
    <definedName name="GlobalF1Amounts_sheet0" hidden="1">"'globalF1Amounts'
0
"</definedName>
    <definedName name="GlobalF1Amounts_sheets" hidden="1">1</definedName>
    <definedName name="GlobalF2_sheet0" hidden="1">"'globalF2'
0
"</definedName>
    <definedName name="GlobalF2_sheets" hidden="1">1</definedName>
    <definedName name="GlobalF2Amounts_sheet0" hidden="1">"'globalF2Amounts'
0
"</definedName>
    <definedName name="GlobalF2Amounts_sheets" hidden="1">1</definedName>
    <definedName name="Globalregions_sheet0" hidden="1">"'Reports Units_Global full year'
0
"</definedName>
    <definedName name="Globalregions_sheets" hidden="1">1</definedName>
    <definedName name="Globalregionsamount_sheet0" hidden="1">"'Reports $_Global full year'
0
"</definedName>
    <definedName name="Globalregionsamount_sheets" hidden="1">1</definedName>
    <definedName name="globalSales1_sheet0" hidden="1">"'globalSales1'
0
"</definedName>
    <definedName name="globalSales1_sheets" hidden="1">1</definedName>
    <definedName name="globalSalesamount_sheet0" hidden="1">"'globalSalesamount'
0
"</definedName>
    <definedName name="globalSalesamount_sheets" hidden="1">1</definedName>
    <definedName name="gme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Graphz" hidden="1">#REF!</definedName>
    <definedName name="gscbvc" hidden="1">{"works expense",#N/A,FALSE,"WORKS EXPENSE"}</definedName>
    <definedName name="happy" hidden="1">#REF!</definedName>
    <definedName name="hellop" hidden="1">#REF!</definedName>
    <definedName name="hg" hidden="1">{"review",#N/A,FALSE,"FACTSHT"}</definedName>
    <definedName name="hhhsdf" hidden="1">{"up stand alones",#N/A,FALSE,"Acquiror"}</definedName>
    <definedName name="hi" hidden="1">#REF!</definedName>
    <definedName name="HiddenRows" hidden="1">#REF!</definedName>
    <definedName name="hj" hidden="1">{"works expense",#N/A,FALSE,"WORKS EXPENSE"}</definedName>
    <definedName name="hjiok" hidden="1">{"Full Sheet",#N/A,FALSE,"MATL";"Full Sheet",#N/A,FALSE,"LAB";"Full Sheet",#N/A,FALSE,"EXP";"Full Sheet",#N/A,FALSE,"QUAL";"Full Sheet",#N/A,FALSE,"DEL";"Full Sheet",#N/A,FALSE,"STK"}</definedName>
    <definedName name="hjk" hidden="1">{"Full Sheet",#N/A,FALSE,"MATL";"Full Sheet",#N/A,FALSE,"LAB";"Full Sheet",#N/A,FALSE,"EXP";"Full Sheet",#N/A,FALSE,"QUAL";"Full Sheet",#N/A,FALSE,"DEL";"Full Sheet",#N/A,FALSE,"STK"}</definedName>
    <definedName name="hjkl" hidden="1">{"Chart",#N/A,FALSE,"MATL";"Chart",#N/A,FALSE,"LAB";"Chart",#N/A,FALSE,"EXP";"Chart",#N/A,FALSE,"QUAL";"Chart",#N/A,FALSE,"DEL";"Chart",#N/A,FALSE,"STK";"Chart",#N/A,FALSE,"hr";"Chart",#N/A,FALSE,"lead"}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snss" hidden="1">{#N/A,#N/A,TRUE,"HOJA 1 (P)";#N/A,#N/A,TRUE,"HOJA 2 (P)";#N/A,#N/A,TRUE,"HOJA 3 (P)";#N/A,#N/A,TRUE,"HOJA 4 (P)"}</definedName>
    <definedName name="hsrtdgdr" hidden="1">{"works expense",#N/A,FALSE,"WORKS EXPENSE"}</definedName>
    <definedName name="HTML_CodePage" hidden="1">1252</definedName>
    <definedName name="HTML_Control" hidden="1">{"'BALANCE GENERAL'!$A$1:$M$73","'EDO RESULTADOS'!$A$1:$K$45","'EDO VARIACIONES'!$A$1:$L$45","'EDO CAMBIOS'!$A$1:$I$55"}</definedName>
    <definedName name="HTML_Description" hidden="1">""</definedName>
    <definedName name="HTML_Email" hidden="1">""</definedName>
    <definedName name="HTML_Header" hidden="1">"EDO CAMBIOS"</definedName>
    <definedName name="HTML_LastUpdate" hidden="1">"03/02/2000"</definedName>
    <definedName name="HTML_LineAfter" hidden="1">FALSE</definedName>
    <definedName name="HTML_LineBefore" hidden="1">FALSE</definedName>
    <definedName name="HTML_Name" hidden="1">"COORDINACION"</definedName>
    <definedName name="HTML_OBDlg2" hidden="1">TRUE</definedName>
    <definedName name="HTML_OBDlg4" hidden="1">TRUE</definedName>
    <definedName name="HTML_OS" hidden="1">0</definedName>
    <definedName name="HTML_PathFile" hidden="1">"C:\Circunet\Bancos\1459Anexos.htm"</definedName>
    <definedName name="HTML_Title" hidden="1">"1459Anexos"</definedName>
    <definedName name="i" hidden="1">{#N/A,#N/A,FALSE,"HOJA 1";#N/A,#N/A,FALSE,"HOJA 2";#N/A,#N/A,FALSE,"HOJA 3";#N/A,#N/A,FALSE,"DATOS";#N/A,#N/A,FALSE,"IVA"}</definedName>
    <definedName name="ik" hidden="1">{"casespecific",#N/A,FALSE,"Assumptions"}</definedName>
    <definedName name="inside" hidden="1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BS_PERIOD" hidden="1">"c13823"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ID" hidden="1">"c13756"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TDDEV_EST_REUT" hidden="1">"c5408"</definedName>
    <definedName name="IQ_BV_STDDEV_EST_THOM" hidden="1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_IND_LOANS_TOT_LOANS_FFIEC" hidden="1">"c13874"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NST_LAND_DEV_LOANS_TOT_LOANS_FFIEC" hidden="1">"c13865"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SUMER_LOANS_TOT_LOANS_FFIEC" hidden="1">"c13875"</definedName>
    <definedName name="IQ_CONTRACTS_OTHER_COMMODITIES_EQUITIES_FDIC" hidden="1">"c6522"</definedName>
    <definedName name="IQ_CONTRACTS_OTHER_COMMODITIES_EQUITIES.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FFIEC" hidden="1">"c13862"</definedName>
    <definedName name="IQ_CORE_DEPOSITS_TOT_DEPOSITS_FFIEC" hidden="1">"c13911"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ORATE_OVER_TOTAL" hidden="1">"c13767"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M_OFFICE_DEPOSITS_TOT_DEPOSITS_FFIEC" hidden="1">"c13910"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"c157"</definedName>
    <definedName name="IQ_EBIT_GROWTH_2" hidden="1">"c161"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GROWTH_1" hidden="1">"c156"</definedName>
    <definedName name="IQ_EBITDA_GROWTH_2" hidden="1">"c160"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O_EST" hidden="1">"c267"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"c189"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_EST" hidden="1">"c271"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OVER_TOTAL" hidden="1">"c13768"</definedName>
    <definedName name="IQ_EST_ACT_BV_REUT" hidden="1">"c5409"</definedName>
    <definedName name="IQ_EST_ACT_BV_THOM" hidden="1">"c5153"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FFO_REUT" hidden="1">"c3843"</definedName>
    <definedName name="IQ_EST_ACT_FFO_SHARE_REUT" hidden="1">"c3843"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HARE_DIFF_REUT" hidden="1">"c3890"</definedName>
    <definedName name="IQ_EST_FFO_SHARE_SURPRISE_PERCENT_REUT" hidden="1">"c3891"</definedName>
    <definedName name="IQ_EST_FFO_SURPRISE_PERCENT" hidden="1">"c1870"</definedName>
    <definedName name="IQ_EST_FFO_SURPRISE_PERCENT_REUT" hidden="1">"c3891"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LORE_DRILL_EXP_TOTAL" hidden="1">"c13850"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EST_REUT" hidden="1">"c3837"</definedName>
    <definedName name="IQ_FFO_HIGH_EST" hidden="1">"c419"</definedName>
    <definedName name="IQ_FFO_HIGH_EST_REUT" hidden="1">"c3839"</definedName>
    <definedName name="IQ_FFO_LOW_EST" hidden="1">"c420"</definedName>
    <definedName name="IQ_FFO_LOW_EST_REUT" hidden="1">"c3840"</definedName>
    <definedName name="IQ_FFO_MEDIAN_EST" hidden="1">"c1665"</definedName>
    <definedName name="IQ_FFO_MEDIAN_EST_REUT" hidden="1">"c3838"</definedName>
    <definedName name="IQ_FFO_NO_EST" hidden="1">"c276"</definedName>
    <definedName name="IQ_FFO_NUM_EST" hidden="1">"c421"</definedName>
    <definedName name="IQ_FFO_NUM_EST_REUT" hidden="1">"c3841"</definedName>
    <definedName name="IQ_FFO_PAYOUT_RATIO" hidden="1">"c3492"</definedName>
    <definedName name="IQ_FFO_SHARE_EST_REUT" hidden="1">"c3837"</definedName>
    <definedName name="IQ_FFO_SHARE_HIGH_EST_REUT" hidden="1">"c3839"</definedName>
    <definedName name="IQ_FFO_SHARE_LOW_EST_REUT" hidden="1">"c3840"</definedName>
    <definedName name="IQ_FFO_SHARE_MEDIAN_EST_REUT" hidden="1">"c3838"</definedName>
    <definedName name="IQ_FFO_SHARE_NUM_EST_REUT" hidden="1">"c3841"</definedName>
    <definedName name="IQ_FFO_SHARE_STDDEV_EST_REUT" hidden="1">"c3842"</definedName>
    <definedName name="IQ_FFO_STDDEV_EST" hidden="1">"c422"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DGEFUND_OVER_TOTAL" hidden="1">"c13771"</definedName>
    <definedName name="IQ_HELD_MATURITY_FDIC" hidden="1">"c6408"</definedName>
    <definedName name="IQ_HIGH_TARGET_PRICE" hidden="1">"c1651"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AIRMENT_GW_SUPPLE" hidden="1">"c13811"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MDA_SAVINGS_TOT_DEPOSITS_FFIEC" hidden="1">"c13905"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_5_LOANS_TOT_LOANS_FFIEC" hidden="1">"c13869"</definedName>
    <definedName name="IQ_MULTIFAMILY_RESIDENTIAL_LOANS_FDIC" hidden="1">"c6311"</definedName>
    <definedName name="IQ_NAMES_REVISION_DATE_" hidden="1">42492.6740046296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OTHER_TRANS_ACCTS_TOT_DEPOSITS_FFIEC" hidden="1">"c13903"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AX_EQUIVALENT_ADJUSTMENTS_FFIEC" hidden="1">"c13855"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12MONTHS" hidden="1">"c1828"</definedName>
    <definedName name="IQ_PERCENT_CHANGE_EST_FFO_SHARE_12MONTHS_REUT" hidden="1">"c3938"</definedName>
    <definedName name="IQ_PERCENT_CHANGE_EST_FFO_SHARE_18MONTHS" hidden="1">"c1829"</definedName>
    <definedName name="IQ_PERCENT_CHANGE_EST_FFO_SHARE_18MONTHS_REUT" hidden="1">"c3939"</definedName>
    <definedName name="IQ_PERCENT_CHANGE_EST_FFO_SHARE_3MONTHS" hidden="1">"c1825"</definedName>
    <definedName name="IQ_PERCENT_CHANGE_EST_FFO_SHARE_3MONTHS_REUT" hidden="1">"c3935"</definedName>
    <definedName name="IQ_PERCENT_CHANGE_EST_FFO_SHARE_6MONTHS" hidden="1">"c1826"</definedName>
    <definedName name="IQ_PERCENT_CHANGE_EST_FFO_SHARE_6MONTHS_REUT" hidden="1">"c3936"</definedName>
    <definedName name="IQ_PERCENT_CHANGE_EST_FFO_SHARE_9MONTHS" hidden="1">"c1827"</definedName>
    <definedName name="IQ_PERCENT_CHANGE_EST_FFO_SHARE_9MONTHS_REUT" hidden="1">"c3937"</definedName>
    <definedName name="IQ_PERCENT_CHANGE_EST_FFO_SHARE_DAY" hidden="1">"c1822"</definedName>
    <definedName name="IQ_PERCENT_CHANGE_EST_FFO_SHARE_DAY_REUT" hidden="1">"c3933"</definedName>
    <definedName name="IQ_PERCENT_CHANGE_EST_FFO_SHARE_MONTH" hidden="1">"c1824"</definedName>
    <definedName name="IQ_PERCENT_CHANGE_EST_FFO_SHARE_MONTH_REUT" hidden="1">"c3934"</definedName>
    <definedName name="IQ_PERCENT_CHANGE_EST_FFO_SHARE_WEEK" hidden="1">"c1823"</definedName>
    <definedName name="IQ_PERCENT_CHANGE_EST_FFO_SHARE_WEEK_REUT" hidden="1">"c3964"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ID" hidden="1">"c13755"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COMMON_EQUITY" hidden="1">"c13838"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"c1126"</definedName>
    <definedName name="IQ_REVENUE_EST_1" hidden="1">"c190"</definedName>
    <definedName name="IQ_REVENUE_GROWTH_1" hidden="1">"c155"</definedName>
    <definedName name="IQ_REVENUE_GROWTH_2" hidden="1">"c159"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O_EST" hidden="1">"c263"</definedName>
    <definedName name="IQ_REVENUE_NUM_EST" hidden="1">"c1129"</definedName>
    <definedName name="IQ_REVISION_DATE_" hidden="1">38971.5590740741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FFIEC" hidden="1">"c13915"</definedName>
    <definedName name="IQ_TARGET_PRICE_LASTCLOSE" hidden="1">"c1855"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TOT_DEPOSITS_FFIEC" hidden="1">"c13907"</definedName>
    <definedName name="IQ_TIME_DEPOSITS_LESS_THAN_100K_FDIC" hidden="1">"c6465"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EQUITY_TOTAL_ASSETS_FFIEC" hidden="1">"c13863"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ISK_WEIGHTED_ASSETS_FFIEC" hidden="1">"c13858"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SUPPLE" hidden="1">"c13817"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QRA12" hidden="1">"$A$13:$A$1270"</definedName>
    <definedName name="IQRA8" hidden="1">"$A$9:$A$260"</definedName>
    <definedName name="IQRAF17" hidden="1">"$AF$18:$AF$271"</definedName>
    <definedName name="IQRB8" hidden="1">"$B$9:$B$260"</definedName>
    <definedName name="IQRC8" hidden="1">"$C$9:$C$260"</definedName>
    <definedName name="IQRK12" hidden="1">"$K$13:$K$1270"</definedName>
    <definedName name="IsColHidden" hidden="1">FALSE</definedName>
    <definedName name="IsLTMColHidden" hidden="1">FALSE</definedName>
    <definedName name="ISR" hidden="1">{#N/A,#N/A,TRUE,"HOJA 1 (P)";#N/A,#N/A,TRUE,"HOJA 2 (P)";#N/A,#N/A,TRUE,"HOJA 3 (P)";#N/A,#N/A,TRUE,"HOJA 4 (P)"}</definedName>
    <definedName name="Ivy" hidden="1">{"A COM Detail YTD",#N/A,FALSE,"DATA";"B Exp Detail YTD",#N/A,FALSE,"DATA"}</definedName>
    <definedName name="jnkjbn6" hidden="1">{#N/A,#N/A,TRUE,"Cover  Page";#N/A,#N/A,TRUE,"PRODCAL";#N/A,#N/A,TRUE,"BUDGET";#N/A,#N/A,TRUE,"PRODMOD";#N/A,#N/A,TRUE,"JPD";#N/A,#N/A,TRUE,"DAILY  RATE";#N/A,#N/A,TRUE,"Comprod";#N/A,#N/A,TRUE,"Monthly Rate ´99";#N/A,#N/A,TRUE,"Monthly Prod ´99";#N/A,#N/A,TRUE,"PROG. BY MOD. YEAR";#N/A,#N/A,TRUE,"VENEZUELA";#N/A,#N/A,TRUE,"COLOMBIA";#N/A,#N/A,TRUE,"ECUADOR";#N/A,#N/A,TRUE,"Calendar Year  1999"}</definedName>
    <definedName name="k" hidden="1">{#N/A,#N/A,TRUE,"MEMO";#N/A,#N/A,TRUE,"COMMITMENT";#N/A,#N/A,TRUE,"PRODCAL";#N/A,#N/A,TRUE,"BUDGET";#N/A,#N/A,TRUE,"PRODMOD";#N/A,#N/A,TRUE,"JPD";#N/A,#N/A,TRUE,"DAILY  RATE";#N/A,#N/A,TRUE,"Comprod";#N/A,#N/A,TRUE,"Monthly Rate ´98";#N/A,#N/A,TRUE,"Monthly Prod ´98";#N/A,#N/A,TRUE,"PROG. BY MOD. YEAR";#N/A,#N/A,TRUE,"VENEZUELA";#N/A,#N/A,TRUE,"COLOMBIA";#N/A,#N/A,TRUE,"ECUADOR";#N/A,#N/A,TRUE,"Calendar Year  1998"}</definedName>
    <definedName name="K2_WBEVMODE" hidden="1">0</definedName>
    <definedName name="KC_Summary" hidden="1">38749.4027314815</definedName>
    <definedName name="keys" hidden="1">#REF!</definedName>
    <definedName name="khlk" hidden="1">{"Detailed",#N/A,FALSE,"Schedule4"}</definedName>
    <definedName name="kindhearted" hidden="1">#REF!</definedName>
    <definedName name="kkk" hidden="1">{"works expense",#N/A,FALSE,"WORKS EXPENSE"}</definedName>
    <definedName name="kkkk" hidden="1">{"product cost",#N/A,FALSE,"P&amp;L STATEMENT"}</definedName>
    <definedName name="kol" hidden="1">{"away stand alones",#N/A,FALSE,"Target"}</definedName>
    <definedName name="l" hidden="1">{#N/A,#N/A,TRUE,"Cover  Page";#N/A,#N/A,TRUE,"DAILY  RATE";#N/A,#N/A,TRUE,"Comprod";#N/A,#N/A,TRUE,"Monthly Prod ´99";#N/A,#N/A,TRUE,"Monthly Rate ´99";#N/A,#N/A,TRUE,"ENDDIA99";#N/A,#N/A,TRUE,"Calendar Year  1999"}</definedName>
    <definedName name="Lighting" hidden="1">{#N/A,#N/A,FALSE,"Profit Status";#N/A,#N/A,FALSE,"Invest";#N/A,#N/A,FALSE,"Revenue";#N/A,#N/A,FALSE,"Variable Cost";#N/A,#N/A,FALSE,"Options &amp; Series"}</definedName>
    <definedName name="limcount" hidden="1">1</definedName>
    <definedName name="ll" hidden="1">#REF!</definedName>
    <definedName name="LLCP" hidden="1">{"PAGE1",#N/A,FALSE,"BID (3)";"PAGE2",#N/A,FALSE,"BID (3)"}</definedName>
    <definedName name="llll" hidden="1">#REF!</definedName>
    <definedName name="LoadData_sheet0" hidden="1">"'LoadData'
0
"</definedName>
    <definedName name="LoadData_sheets" hidden="1">1</definedName>
    <definedName name="ltovar" hidden="1">{"manpower",#N/A,FALSE,"MANPOWER_PAYROLL"}</definedName>
    <definedName name="luis" hidden="1">{"manpower",#N/A,FALSE,"MANPOWER_PAYROLL"}</definedName>
    <definedName name="LVSum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MAp" hidden="1">38496.888912037</definedName>
    <definedName name="MARKET_sheet0" hidden="1">"'START'
0
"</definedName>
    <definedName name="MARKET_sheets" hidden="1">1</definedName>
    <definedName name="maryelin" hidden="1">{"capital",#N/A,FALSE,"CAPITAL_DEP'N"}</definedName>
    <definedName name="maybe" hidden="1">{"profit statement",#N/A,FALSE,"P&amp;L STATEMENT"}</definedName>
    <definedName name="modelo2" hidden="1">{"Full Sheet",#N/A,FALSE,"MATL";"Full Sheet",#N/A,FALSE,"LAB";"Full Sheet",#N/A,FALSE,"EXP";"Full Sheet",#N/A,FALSE,"QUAL";"Full Sheet",#N/A,FALSE,"DEL";"Full Sheet",#N/A,FALSE,"STK"}</definedName>
    <definedName name="mystere" hidden="1">{"Summary",#N/A,FALSE,"Schedule4"}</definedName>
    <definedName name="n" hidden="1">{#N/A,#N/A,TRUE,"Cover  Page";#N/A,#N/A,TRUE,"DAILY  RATE";#N/A,#N/A,TRUE,"Comprod";#N/A,#N/A,TRUE,"Monthly Prod ´99";#N/A,#N/A,TRUE,"Monthly Rate ´99";#N/A,#N/A,TRUE,"ENDDIA99";#N/A,#N/A,TRUE,"Calendar Year  1999"}</definedName>
    <definedName name="n0o" hidden="1">{"Full Sheet",#N/A,FALSE,"MATL";"Full Sheet",#N/A,FALSE,"LAB";"Full Sheet",#N/A,FALSE,"EXP";"Full Sheet",#N/A,FALSE,"QUAL";"Full Sheet",#N/A,FALSE,"DEL";"Full Sheet",#N/A,FALSE,"STK";"Full Sheet",#N/A,FALSE,"hr";"Full Sheet",#N/A,FALSE,"lead";"Full Sheet",#N/A,FALSE,"hkp"}</definedName>
    <definedName name="nb" hidden="1">{"Keapg1",#N/A,FALSE,"Keane";"Keapg2",#N/A,FALSE,"Keane";"Keapg4",#N/A,FALSE,"Keane"}</definedName>
    <definedName name="no" hidden="1">{"works expense",#N/A,FALSE,"WORKS EXPENSE"}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o" hidden="1">{#N/A,#N/A,TRUE,"HOJA 1 (P)";#N/A,#N/A,TRUE,"HOJA 2 (P)";#N/A,#N/A,TRUE,"HOJA 3 (P)";#N/A,#N/A,TRUE,"HOJA 4 (P)"}</definedName>
    <definedName name="obed" hidden="1">{#N/A,#N/A,TRUE,"HOJA 1 (P)";#N/A,#N/A,TRUE,"HOJA 2 (P)";#N/A,#N/A,TRUE,"HOJA 3 (P)";#N/A,#N/A,TRUE,"HOJA 4 (P)"}</definedName>
    <definedName name="OBFlatFile_sheet0" hidden="1">"'OBFlatFile'
0
"</definedName>
    <definedName name="OBFlatFile_sheets" hidden="1">1</definedName>
    <definedName name="ohlala" hidden="1">{"Detailed",#N/A,FALSE,"Schedule4"}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o" hidden="1">{#N/A,#N/A,FALSE,"Aging Summary";#N/A,#N/A,FALSE,"Ratio Analysis";#N/A,#N/A,FALSE,"Test 120 Day Accts";#N/A,#N/A,FALSE,"Tickmarks"}</definedName>
    <definedName name="OP" hidden="1">{#N/A,#N/A,FALSE,"Operations";#N/A,#N/A,FALSE,"Financials"}</definedName>
    <definedName name="OrderTable" hidden="1">#REF!</definedName>
    <definedName name="OTRO_Control" hidden="1">{"'BALANCE GENERAL'!$A$1:$M$73","'EDO RESULTADOS'!$A$1:$K$45","'EDO VARIACIONES'!$A$1:$L$45","'EDO CAMBIOS'!$A$1:$I$55"}</definedName>
    <definedName name="outside" hidden="1">#REF!</definedName>
    <definedName name="outyears" hidden="1">#REF!</definedName>
    <definedName name="Overview_BL1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peanut" hidden="1">#REF!</definedName>
    <definedName name="pepe" hidden="1">#REF!</definedName>
    <definedName name="pla" hidden="1">{"Chart",#N/A,FALSE,"MATL";"Chart",#N/A,FALSE,"LAB";"Chart",#N/A,FALSE,"EXP";"Chart",#N/A,FALSE,"QUAL";"Chart",#N/A,FALSE,"DEL";"Chart",#N/A,FALSE,"STK";"Chart",#N/A,FALSE,"hr";"Chart",#N/A,FALSE,"lead"}</definedName>
    <definedName name="PlanAP_sheet0" hidden="1">"'Reports $_Global_Month'
0
"</definedName>
    <definedName name="PlanAP_sheets" hidden="1">1</definedName>
    <definedName name="PlanEU_sheet0" hidden="1">"'Reports $_Global_Month'
0
"</definedName>
    <definedName name="PlanEU_sheets" hidden="1">1</definedName>
    <definedName name="PlanMAP__sheet0" hidden="1">"'Reports $_by Market'
0
"</definedName>
    <definedName name="PlanMAP__sheets" hidden="1">1</definedName>
    <definedName name="PlanMAP_sheet0" hidden="1">"'Reports Units_by Market '
0
"</definedName>
    <definedName name="PlanMAP_sheets" hidden="1">1</definedName>
    <definedName name="PlanMEU__sheet0" hidden="1">"'Reports $_by Market'
0
"</definedName>
    <definedName name="PlanMEU__sheets" hidden="1">1</definedName>
    <definedName name="PlanMEU_sheet0" hidden="1">"'Reports Units_by Market '
0
"</definedName>
    <definedName name="PlanMEU_sheets" hidden="1">1</definedName>
    <definedName name="PlanMNA__sheet0" hidden="1">"'Reports $_by Market'
0
"</definedName>
    <definedName name="PlanMNA__sheets" hidden="1">1</definedName>
    <definedName name="PlanMNA_sheet0" hidden="1">"'Reports Units_by Market '
0
"</definedName>
    <definedName name="PlanMNA_sheets" hidden="1">1</definedName>
    <definedName name="PlanMSA__sheet0" hidden="1">"'Reports $_by Market'
0
"</definedName>
    <definedName name="PlanMSA__sheets" hidden="1">1</definedName>
    <definedName name="PlanMSA_sheet0" hidden="1">"'Reports Units_by Market '
0
"</definedName>
    <definedName name="PlanMSA_sheets" hidden="1">1</definedName>
    <definedName name="PlanNA_sheet0" hidden="1">"'Reports $_Global_Month'
0
"</definedName>
    <definedName name="PlanNA_sheets" hidden="1">1</definedName>
    <definedName name="PlanSA_sheet0" hidden="1">"'Reports $_Global_Month'
0
"</definedName>
    <definedName name="PlanSA_sheets" hidden="1">1</definedName>
    <definedName name="pleasestop" hidden="1">#REF!</definedName>
    <definedName name="po" hidden="1">{#N/A,#N/A,FALSE,"Calc";#N/A,#N/A,FALSE,"Sensitivity";#N/A,#N/A,FALSE,"LT Earn.Dil.";#N/A,#N/A,FALSE,"Dil. AVP"}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ssible" hidden="1">{"works expense",#N/A,FALSE,"WORKS EXPENSE"}</definedName>
    <definedName name="print4" hidden="1">{#N/A,#N/A,FALSE,"Operations";#N/A,#N/A,FALSE,"Financials"}</definedName>
    <definedName name="ProdForm" hidden="1">#REF!</definedName>
    <definedName name="Product" hidden="1">#REF!</definedName>
    <definedName name="prolinks_03254d08da4f48ff955ff3fe3b15bea0" hidden="1">#REF!</definedName>
    <definedName name="prolinks_051df0cec9b240fe8f67d121518e5969" hidden="1">#REF!</definedName>
    <definedName name="prolinks_0900a566aadc47f19aac3e17ce0fa35e" hidden="1">#REF!</definedName>
    <definedName name="prolinks_163ff32388fa4442ab675f25948804d0" hidden="1">#REF!</definedName>
    <definedName name="prolinks_19af6a3e6251470284c6a1ba50453a42" hidden="1">#REF!</definedName>
    <definedName name="prolinks_1bedd05174044d8eb1f28b339c340da6" hidden="1">#REF!</definedName>
    <definedName name="prolinks_2405bcd5b35d4f1bb5a23fa6fb0db433" hidden="1">#REF!</definedName>
    <definedName name="prolinks_2664d2552f3241248b30d533422a8eb1" hidden="1">#REF!</definedName>
    <definedName name="prolinks_2903fb7e3e6f47d5a8725b278b8e5467" hidden="1">#REF!</definedName>
    <definedName name="prolinks_585561e3917b4a4795ccfefeee5109a9" hidden="1">#REF!</definedName>
    <definedName name="prolinks_66a54cfdf4e6422c9f9124b90546a1e5" hidden="1">#REF!</definedName>
    <definedName name="prolinks_6773fdfa04ef45a8ae1dd31cceef6ff0" hidden="1">#REF!</definedName>
    <definedName name="prolinks_6bbcb2fd17e3451ba5e14a7599107aac" hidden="1">#REF!</definedName>
    <definedName name="prolinks_72d29dfe414246eb970c8523586f2557" hidden="1">#REF!</definedName>
    <definedName name="prolinks_7f06f844388445af8c1be3c6e67652b3" hidden="1">#REF!</definedName>
    <definedName name="prolinks_93c4401dbfb44970b99026ec943fbc4f" hidden="1">#REF!</definedName>
    <definedName name="prolinks_95063f8f0af54589af544ef1e53494c4" hidden="1">#REF!</definedName>
    <definedName name="prolinks_a1ea16e10413450aad79db76e177f3b1" hidden="1">#REF!</definedName>
    <definedName name="prolinks_a323238486e445c192c1243d74437fa4" hidden="1">#REF!</definedName>
    <definedName name="prolinks_ae605e38045a468eadb42bf504e22ebe" hidden="1">#REF!</definedName>
    <definedName name="prolinks_b939842b770e4ebe9248de183334400f" hidden="1">#REF!</definedName>
    <definedName name="prolinks_d7cedf37b7924e17906823abc99ace0f" hidden="1">#REF!</definedName>
    <definedName name="prolinks_e496d690a549412990f220e11cc9d470" hidden="1">#REF!</definedName>
    <definedName name="prolinks_e9958b5a42c544eca3231208420afacc" hidden="1">#REF!</definedName>
    <definedName name="prolinks_f597baf7acb24d1dbe44ff9b7bf38453" hidden="1">#REF!</definedName>
    <definedName name="prolinks_fd8b326a0232482a82835432212b10d4" hidden="1">#REF!</definedName>
    <definedName name="prout" hidden="1">{"comp1",#N/A,FALSE,"COMPS";"footnotes",#N/A,FALSE,"COMPS"}</definedName>
    <definedName name="PUB_UserID" hidden="1">"MAYERX"</definedName>
    <definedName name="qq" hidden="1">{#N/A,#N/A,FALSE,"CBE";#N/A,#N/A,FALSE,"SWK"}</definedName>
    <definedName name="QRE" hidden="1">{#N/A,#N/A,TRUE,"HOJA 1 (P)";#N/A,#N/A,TRUE,"HOJA 2 (P)";#N/A,#N/A,TRUE,"HOJA 3 (P)";#N/A,#N/A,TRUE,"HOJA 4 (P)"}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dio" hidden="1">#REF!</definedName>
    <definedName name="raj" hidden="1">{"'0103'!$A$455:$O$585"}</definedName>
    <definedName name="RCArea" hidden="1">#REF!</definedName>
    <definedName name="Regions_MarketsDesc_sheet0" hidden="1">"'Regions&amp;MarketsDesc'
0
"</definedName>
    <definedName name="Regions_MarketsDesc_sheets" hidden="1">1</definedName>
    <definedName name="RegionsAndMarketsDescriptions.sqx_sheet0" hidden="1">"'Regions&amp;MarketsDesc'
0
"</definedName>
    <definedName name="RegionsAndMarketsDescriptions.sqx_sheets" hidden="1">1</definedName>
    <definedName name="rev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evie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grg" hidden="1">{"profit statement",#N/A,FALSE,"P&amp;L STATEMENT"}</definedName>
    <definedName name="rgrsdg" hidden="1">{"manpower",#N/A,FALSE,"MANPOWER_PAYROLL"}</definedName>
    <definedName name="rgrsdgrsed" hidden="1">{"sga expense",#N/A,FALSE,"S,G&amp;A EXP"}</definedName>
    <definedName name="rgrsdgsr" hidden="1">{"sga expense",#N/A,FALSE,"S,G&amp;A EXP"}</definedName>
    <definedName name="rgrsegsre" hidden="1">{"capital",#N/A,FALSE,"CAPITAL_DEP'N"}</definedName>
    <definedName name="rgrsg" hidden="1">{"profit statement",#N/A,FALSE,"P&amp;L STATEMENT"}</definedName>
    <definedName name="rgrsgr" hidden="1">{"sga expense",#N/A,FALSE,"S,G&amp;A EXP"}</definedName>
    <definedName name="rgrsgrd" hidden="1">{"works expense",#N/A,FALSE,"WORKS EXPENSE"}</definedName>
    <definedName name="rgsdrg" hidden="1">{"sga expense",#N/A,FALSE,"S,G&amp;A EXP"}</definedName>
    <definedName name="rgsrdg" hidden="1">{"product cost",#N/A,FALSE,"P&amp;L STATEMENT"}</definedName>
    <definedName name="rgsredg" hidden="1">{"sga expense",#N/A,FALSE,"S,G&amp;A EXP"}</definedName>
    <definedName name="rgsrg" hidden="1">{"manpower",#N/A,FALSE,"MANPOWER_PAYROLL"}</definedName>
    <definedName name="riley" hidden="1">#REF!</definedName>
    <definedName name="rr" hidden="1">{"capital",#N/A,FALSE,"CAPITAL_DEP'N"}</definedName>
    <definedName name="rta" hidden="1">{#N/A,#N/A,FALSE,"Assumptions";#N/A,#N/A,FALSE,"Volumes";#N/A,#N/A,FALSE,"Pricing";#N/A,#N/A,FALSE,"Variable Cost";#N/A,#N/A,FALSE,"Investment";#N/A,#N/A,FALSE,"Profitability";#N/A,#N/A,FALSE,"Business Comparison"}</definedName>
    <definedName name="rte" hidden="1">{#N/A,#N/A,FALSE,"Assumptions";#N/A,#N/A,FALSE,"Volumes";#N/A,#N/A,FALSE,"Pricing";#N/A,#N/A,FALSE,"Variable Cost";#N/A,#N/A,FALSE,"Investment";#N/A,#N/A,FALSE,"Profitability";#N/A,#N/A,FALSE,"Business Comparison"}</definedName>
    <definedName name="rty" hidden="1">{#N/A,#N/A,TRUE,"Pro Forma";#N/A,#N/A,TRUE,"PF_Bal";#N/A,#N/A,TRUE,"PF_INC";#N/A,#N/A,TRUE,"CBE";#N/A,#N/A,TRUE,"SWK"}</definedName>
    <definedName name="Rwvu.Sommaire." hidden="1">#REF!,#REF!,#REF!,#REF!,#REF!</definedName>
    <definedName name="ry" hidden="1">{"Detailed",#N/A,FALSE,"Schedule4"}</definedName>
    <definedName name="sa" hidden="1">{#N/A,#N/A,TRUE,"Cover  Page";#N/A,#N/A,TRUE,"DAILY  RATE";#N/A,#N/A,TRUE,"Comprod";#N/A,#N/A,TRUE,"Monthly Rate ´98";#N/A,#N/A,TRUE,"Monthly Prod ´98";#N/A,#N/A,TRUE,"ENDDIA98";#N/A,#N/A,TRUE,"Calendar Year  1998";#N/A,#N/A,TRUE,"VENEZUELA";#N/A,#N/A,TRUE,"COLOMBIA";#N/A,#N/A,TRUE,"ECUADOR"}</definedName>
    <definedName name="saf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SalesAP_sheet0" hidden="1">"'Reports Units_Global_Month '
0
"</definedName>
    <definedName name="SalesAP_sheets" hidden="1">1</definedName>
    <definedName name="SalesEU_sheet0" hidden="1">"'Reports Units_Global_Month '
0
"</definedName>
    <definedName name="SalesEU_sheets" hidden="1">1</definedName>
    <definedName name="SalesMAP_sheet0" hidden="1">"'Reports Units_by Market '
0
"</definedName>
    <definedName name="SalesMAP_sheets" hidden="1">1</definedName>
    <definedName name="SalesNA_sheet0" hidden="1">"'Reports Units_Global_Month '
0
"</definedName>
    <definedName name="SalesNA_sheets" hidden="1">1</definedName>
    <definedName name="SalesSA_sheet0" hidden="1">"'Reports Units_Global_Month '
0
"</definedName>
    <definedName name="SalesSA_sheets" hidden="1">1</definedName>
    <definedName name="sand" hidden="1">{"profit statement",#N/A,FALSE,"P&amp;L STATEMENT"}</definedName>
    <definedName name="SASAA" hidden="1">{#N/A,#N/A,FALSE,"Assumptions";#N/A,#N/A,FALSE,"Volumes";#N/A,#N/A,FALSE,"Pricing";#N/A,#N/A,FALSE,"Variable Cost";#N/A,#N/A,FALSE,"Investment";#N/A,#N/A,FALSE,"Profitability";#N/A,#N/A,FALSE,"Business Comparison"}</definedName>
    <definedName name="sb" hidden="1">{"capital",#N/A,FALSE,"CAPITAL_DEP'N"}</definedName>
    <definedName name="scg" hidden="1">{"profit statement",#N/A,FALSE,"P&amp;L STATEMENT"}</definedName>
    <definedName name="sd" hidden="1">{"Chart",#N/A,FALSE,"MATL";"Chart",#N/A,FALSE,"LAB";"Chart",#N/A,FALSE,"EXP";"Chart",#N/A,FALSE,"QUAL";"Chart",#N/A,FALSE,"DEL";"Chart",#N/A,FALSE,"STK";"Chart",#N/A,FALSE,"hr";"Chart",#N/A,FALSE,"lead"}</definedName>
    <definedName name="sdf" hidden="1">{#N/A,#N/A,FALSE,"Calc";#N/A,#N/A,FALSE,"Sensitivity";#N/A,#N/A,FALSE,"LT Earn.Dil.";#N/A,#N/A,FALSE,"Dil. AVP"}</definedName>
    <definedName name="sdfgddfgfh" hidden="1">{#N/A,#N/A,TRUE,"Cover  Page";#N/A,#N/A,TRUE,"DAILY  RATE";#N/A,#N/A,TRUE,"Comprod";#N/A,#N/A,TRUE,"Monthly Rate ´98";#N/A,#N/A,TRUE,"Monthly Prod ´98";#N/A,#N/A,TRUE,"ENDDIA98";#N/A,#N/A,TRUE,"Calendar Year  1998";#N/A,#N/A,TRUE,"VENEZUELA";#N/A,#N/A,TRUE,"COLOMBIA";#N/A,#N/A,TRUE,"ECUADOR"}</definedName>
    <definedName name="sdfgrg" hidden="1">{"profit statement",#N/A,FALSE,"P&amp;L STATEMENT"}</definedName>
    <definedName name="sdfgs5rtsdrgsdfgre" hidden="1">{"sga expense",#N/A,FALSE,"S,G&amp;A EXP"}</definedName>
    <definedName name="sdfgsdfg" hidden="1">{"profit statement",#N/A,FALSE,"P&amp;L STATEMENT"}</definedName>
    <definedName name="sdfgsdftrg" hidden="1">{"works expense",#N/A,FALSE,"WORKS EXPENSE"}</definedName>
    <definedName name="sdfgsdrg" hidden="1">{"capital",#N/A,FALSE,"CAPITAL_DEP'N"}</definedName>
    <definedName name="sdfgsf" hidden="1">{"works expense",#N/A,FALSE,"WORKS EXPENSE"}</definedName>
    <definedName name="sdfgsrgr" hidden="1">{"profit statement",#N/A,FALSE,"P&amp;L STATEMENT"}</definedName>
    <definedName name="sdfsd" hidden="1">{"sga expense",#N/A,FALSE,"S,G&amp;A EXP"}</definedName>
    <definedName name="sdfsdf" hidden="1">{"Summary",#N/A,FALSE,"Schedule4"}</definedName>
    <definedName name="sdg" hidden="1">{"capital",#N/A,FALSE,"CAPITAL_DEP'N"}</definedName>
    <definedName name="sdgdfghfhgfjhgfjhjjjg" hidden="1">{"general",#N/A,FALSE,"Assumptions"}</definedName>
    <definedName name="sdgrf" hidden="1">{"works expense",#N/A,FALSE,"WORKS EXPENSE"}</definedName>
    <definedName name="sdgrgr" hidden="1">{"profit statement",#N/A,FALSE,"P&amp;L STATEMENT"}</definedName>
    <definedName name="sdrgsrdgsr" hidden="1">{"profit statement",#N/A,FALSE,"P&amp;L STATEMENT"}</definedName>
    <definedName name="sdrgsrs" hidden="1">{"works expense",#N/A,FALSE,"WORKS EXPENSE"}</definedName>
    <definedName name="sds" hidden="1">{#N/A,#N/A,TRUE,"ProFormaProfit";#N/A,#N/A,TRUE,"ProFormaCash";#N/A,#N/A,TRUE,"Depreciation";#N/A,#N/A,TRUE,"Assets";#N/A,#N/A,TRUE,"Revenue";#N/A,#N/A,TRUE,"EstimatedPurchase"}</definedName>
    <definedName name="se" hidden="1">{"consolidated",#N/A,FALSE,"Sheet1";"cms",#N/A,FALSE,"Sheet1";"fse",#N/A,FALSE,"Sheet1"}</definedName>
    <definedName name="Select1_sheet0" hidden="1">"'START'
0
"</definedName>
    <definedName name="Select1_sheets" hidden="1">1</definedName>
    <definedName name="sencount" hidden="1">1</definedName>
    <definedName name="sfdg" hidden="1">{"manpower",#N/A,FALSE,"MANPOWER_PAYROLL"}</definedName>
    <definedName name="sfg" hidden="1">{#N/A,#N/A,FALSE,"SGP";#N/A,#N/A,FALSE,"SGI";#N/A,#N/A,FALSE,"SGC";#N/A,#N/A,FALSE,"SGS";#N/A,#N/A,FALSE,"SGB"}</definedName>
    <definedName name="sfg_1" hidden="1">{#N/A,#N/A,FALSE,"SGP";#N/A,#N/A,FALSE,"SGI";#N/A,#N/A,FALSE,"SGC";#N/A,#N/A,FALSE,"SGS";#N/A,#N/A,FALSE,"SGB"}</definedName>
    <definedName name="sfgf" hidden="1">{"product cost",#N/A,FALSE,"P&amp;L STATEMENT"}</definedName>
    <definedName name="sfgfds" hidden="1">{"product cost",#N/A,FALSE,"P&amp;L STATEMENT"}</definedName>
    <definedName name="sfgr" hidden="1">{"profit statement",#N/A,FALSE,"P&amp;L STATEMENT"}</definedName>
    <definedName name="sfgs" hidden="1">{"manpower",#N/A,FALSE,"MANPOWER_PAYROLL"}</definedName>
    <definedName name="sfgsdfg" hidden="1">{"product cost",#N/A,FALSE,"P&amp;L STATEMENT"}</definedName>
    <definedName name="sfgsrdg" hidden="1">{"capital",#N/A,FALSE,"CAPITAL_DEP'N"}</definedName>
    <definedName name="sg" hidden="1">{"capital",#N/A,FALSE,"CAPITAL_DEP'N"}</definedName>
    <definedName name="sgdsfg" hidden="1">{"capital",#N/A,FALSE,"CAPITAL_DEP'N"}</definedName>
    <definedName name="sgfsf" hidden="1">{"manpower",#N/A,FALSE,"MANPOWER_PAYROLL"}</definedName>
    <definedName name="share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sidebar" hidden="1">#REF!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h1" hidden="1">{#N/A,#N/A,FALSE,"Assumptions";#N/A,#N/A,FALSE,"Volumes";#N/A,#N/A,FALSE,"Pricing";#N/A,#N/A,FALSE,"Variable Cost";#N/A,#N/A,FALSE,"Investment";#N/A,#N/A,FALSE,"Profitability";#N/A,#N/A,FALSE,"Business Comparison"}</definedName>
    <definedName name="so" hidden="1">{"works expense",#N/A,FALSE,"WORKS EXPENSE"}</definedName>
    <definedName name="Soldadura" hidden="1">{#N/A,#N/A,TRUE,"Cover  Page";#N/A,#N/A,TRUE,"DAILY  RATE";#N/A,#N/A,TRUE,"Comprod";#N/A,#N/A,TRUE,"Monthly Rate ´98";#N/A,#N/A,TRUE,"Monthly Prod ´98";#N/A,#N/A,TRUE,"ENDDIA98";#N/A,#N/A,TRUE,"Calendar Year  1998";#N/A,#N/A,TRUE,"VENEZUELA";#N/A,#N/A,TRUE,"COLOMBIA";#N/A,#N/A,TRUE,"ECUADOR"}</definedName>
    <definedName name="SpecialPrice" hidden="1">#REF!</definedName>
    <definedName name="srdgsrdg" hidden="1">{"works expense",#N/A,FALSE,"WORKS EXPENSE"}</definedName>
    <definedName name="srtgdrgr" hidden="1">{"sga expense",#N/A,FALSE,"S,G&amp;A EXP"}</definedName>
    <definedName name="ss" hidden="1">{"away stand alones",#N/A,FALSE,"Target"}</definedName>
    <definedName name="sta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tartmarketdescription_sheet0" hidden="1">"'startmarketdescription'
0
"</definedName>
    <definedName name="startmarketdescription_sheets" hidden="1">1</definedName>
    <definedName name="static" hidden="1">#REF!</definedName>
    <definedName name="strange" hidden="1">{"Cons",#N/A,FALSE,"Balance Sheet";"AL",#N/A,FALSE,"Balance Sheet";"Hldgs",#N/A,FALSE,"Balance Sheet"}</definedName>
    <definedName name="stupdi" hidden="1">{"Cons",#N/A,FALSE,"Balance Sheet";"AL",#N/A,FALSE,"Balance Sheet";"Hldgs",#N/A,FALSE,"Balance Sheet"}</definedName>
    <definedName name="stupid" hidden="1">{"ConsL",#N/A,FALSE,"Balance Sheet (Lenders)";"ALL",#N/A,FALSE,"Balance Sheet (Lenders)";"CPTL",#N/A,FALSE,"Balance Sheet (Lenders)"}</definedName>
    <definedName name="Sumário" hidden="1">{#N/A,#N/A,FALSE,"SGP";#N/A,#N/A,FALSE,"SGI";#N/A,#N/A,FALSE,"SGC";#N/A,#N/A,FALSE,"SGS";#N/A,#N/A,FALSE,"SGB"}</definedName>
    <definedName name="Sumário_1" hidden="1">{#N/A,#N/A,FALSE,"SGP";#N/A,#N/A,FALSE,"SGI";#N/A,#N/A,FALSE,"SGC";#N/A,#N/A,FALSE,"SGS";#N/A,#N/A,FALSE,"SGB"}</definedName>
    <definedName name="sunshine" hidden="1">#REF!</definedName>
    <definedName name="Swvu.Détails." hidden="1">#REF!</definedName>
    <definedName name="Swvu.Sommaire." hidden="1">#REF!,#REF!,#REF!,#REF!,#REF!,#REF!</definedName>
    <definedName name="t" hidden="1">{"works expense",#N/A,FALSE,"WORKS EXPENSE"}</definedName>
    <definedName name="Tables" hidden="1">{"sales",#N/A,FALSE,"Sales";"sales existing",#N/A,FALSE,"Sales";"sales rd1",#N/A,FALSE,"Sales";"sales rd2",#N/A,FALSE,"Sales"}</definedName>
    <definedName name="tailend" hidden="1">#REF!</definedName>
    <definedName name="talking" hidden="1">#REF!</definedName>
    <definedName name="tbd" hidden="1">#REF!</definedName>
    <definedName name="tbl_ProdInfo" hidden="1">#REF!</definedName>
    <definedName name="television" hidden="1">#REF!</definedName>
    <definedName name="test" hidden="1">{#N/A,#N/A,TRUE,"Pro Forma";#N/A,#N/A,TRUE,"PF_Bal";#N/A,#N/A,TRUE,"PF_INC";#N/A,#N/A,TRUE,"CBE";#N/A,#N/A,TRUE,"SWK"}</definedName>
    <definedName name="teste1" hidden="1">{#N/A,#N/A,FALSE,"SGP";#N/A,#N/A,FALSE,"SGI";#N/A,#N/A,FALSE,"SGC";#N/A,#N/A,FALSE,"SGS";#N/A,#N/A,FALSE,"SGB"}</definedName>
    <definedName name="teste3" hidden="1">{#N/A,#N/A,FALSE,"SGP";#N/A,#N/A,FALSE,"SGI";#N/A,#N/A,FALSE,"SGC";#N/A,#N/A,FALSE,"SGS";#N/A,#N/A,FALSE,"SGB"}</definedName>
    <definedName name="testmarkets_sheet0" hidden="1">"'testmarkets'
0
"</definedName>
    <definedName name="testmarkets_sheets" hidden="1">1</definedName>
    <definedName name="the" hidden="1">{"years",#N/A,FALSE,"UDR_INC";"9899qtrs",#N/A,FALSE,"UDR_INC";"9798qtrs",#N/A,FALSE,"UDR_INC"}</definedName>
    <definedName name="thee" hidden="1">{"years",#N/A,FALSE,"UDR_INC";"9899qtrs",#N/A,FALSE,"UDR_INC";"9798qtrs",#N/A,FALSE,"UDR_INC"}</definedName>
    <definedName name="theend" hidden="1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red" hidden="1">#REF!</definedName>
    <definedName name="TLA.015" hidden="1">#REF!</definedName>
    <definedName name="TLA.035" hidden="1">#REF!</definedName>
    <definedName name="today" hidden="1">#REF!</definedName>
    <definedName name="TotalAP1_sheet0" hidden="1">"'Reports $_Global_Month'
0
"</definedName>
    <definedName name="TotalAP1_sheets" hidden="1">1</definedName>
    <definedName name="TotalAP1Amount_sheet0" hidden="1">"'Reports $_Global_Month'
0
"</definedName>
    <definedName name="TotalAP1Amount_sheets" hidden="1">1</definedName>
    <definedName name="TotalAP2_sheet0" hidden="1">"'Reports Units_Global_Month '
0
"</definedName>
    <definedName name="TotalAP2_sheets" hidden="1">1</definedName>
    <definedName name="TotalAPDeltaF1F2.sqx_sheet0" hidden="1">"'Reports Units_Global_Month '
0
"</definedName>
    <definedName name="TotalAPDeltaF1F2.sqx_sheets" hidden="1">1</definedName>
    <definedName name="TotalAPDeltaF1F2amount_sheet0" hidden="1">"'Reports $_Global_Month'
0
"</definedName>
    <definedName name="TotalAPDeltaF1F2amount_sheets" hidden="1">1</definedName>
    <definedName name="TotalAPF1.sqx_sheet0" hidden="1">"'Reports Units_Global_Month '
0
"</definedName>
    <definedName name="TotalAPF1.sqx_sheets" hidden="1">1</definedName>
    <definedName name="TotalAPF1amount_sheet0" hidden="1">"'Reports $_Global_Month'
0
"</definedName>
    <definedName name="TotalAPF1amount_sheets" hidden="1">1</definedName>
    <definedName name="TotalAPF2.sqx_sheet0" hidden="1">"'Reports Units_Global_Month '
0
"</definedName>
    <definedName name="TotalAPF2.sqx_sheets" hidden="1">1</definedName>
    <definedName name="TotalAPF2amount_sheet0" hidden="1">"'Reports $_Global_Month'
0
"</definedName>
    <definedName name="TotalAPF2amount_sheets" hidden="1">1</definedName>
    <definedName name="TotalAPPlan.sqx_sheet0" hidden="1">"'Reports Units_Global_Month '
0
"</definedName>
    <definedName name="TotalAPPlan.sqx_sheets" hidden="1">1</definedName>
    <definedName name="TotalAPPlanamount_sheet0" hidden="1">"'Reports $_Global_Month'
0
"</definedName>
    <definedName name="TotalAPPlanamount_sheets" hidden="1">1</definedName>
    <definedName name="TotalAPPlantest_sheet0" hidden="1">"'Reports Units_Global_Month test'
0
"</definedName>
    <definedName name="TotalAPPlantest_sheets" hidden="1">1</definedName>
    <definedName name="TotalAPSoldamount_sheet0" hidden="1">"'Reports $_Global_Month'
0
"</definedName>
    <definedName name="TotalAPSoldamount_sheets" hidden="1">1</definedName>
    <definedName name="TotalAPSoldF1.sqx_sheet0" hidden="1">"'Reports Units_Global_Month '
0
"</definedName>
    <definedName name="TotalAPSoldF1.sqx_sheets" hidden="1">1</definedName>
    <definedName name="TotalAPSoldF1amount_sheet0" hidden="1">"'Reports $_Global_Month'
0
"</definedName>
    <definedName name="TotalAPSoldF1amount_sheets" hidden="1">1</definedName>
    <definedName name="TotalDFAPF1Agricultural.sqx_sheet0" hidden="1">"'Reports Units_Delta Fcst'
0
"</definedName>
    <definedName name="TotalDFAPF1Agricultural.sqx_sheets" hidden="1">1</definedName>
    <definedName name="TotalDFAPF1Agriculturalamount_sheet0" hidden="1">"'Reports $_Delta Fcst '
0
"</definedName>
    <definedName name="TotalDFAPF1Agriculturalamount_sheets" hidden="1">1</definedName>
    <definedName name="TotalDFAPF1Construction.sqx_sheet0" hidden="1">"'Reports Units_Delta Fcst'
0
"</definedName>
    <definedName name="TotalDFAPF1Construction.sqx_sheets" hidden="1">1</definedName>
    <definedName name="TotalDFAPF1Constructionamount_sheet0" hidden="1">"'Reports $_Delta Fcst '
0
"</definedName>
    <definedName name="TotalDFAPF1Constructionamount_sheets" hidden="1">1</definedName>
    <definedName name="TotalDFAPF1Mkt.sqx_sheet0" hidden="1">"'Reports Units_Delta Fcst'
0
"</definedName>
    <definedName name="TotalDFAPF1Mkt.sqx_sheets" hidden="1">1</definedName>
    <definedName name="TotalDFAPF1Mkt1523.sqx_sheet0" hidden="1">"'Reports Units_Delta Fcst'
0
"</definedName>
    <definedName name="TotalDFAPF1Mkt1523.sqx_sheets" hidden="1">1</definedName>
    <definedName name="TotalDFAPF1Mkt1523amount_sheet0" hidden="1">"'Reports $_Delta Fcst '
0
"</definedName>
    <definedName name="TotalDFAPF1Mkt1523amount_sheets" hidden="1">1</definedName>
    <definedName name="TotalDFAPF1Mktamount_sheet0" hidden="1">"'Reports $_Delta Fcst '
0
"</definedName>
    <definedName name="TotalDFAPF1Mktamount_sheets" hidden="1">1</definedName>
    <definedName name="TotalDFAPF2Agricultural.sqx_sheet0" hidden="1">"'Reports Units_Delta Fcst'
0
"</definedName>
    <definedName name="TotalDFAPF2Agricultural.sqx_sheets" hidden="1">1</definedName>
    <definedName name="TotalDFAPF2Agriculturalamount_sheet0" hidden="1">"'Reports $_Delta Fcst '
0
"</definedName>
    <definedName name="TotalDFAPF2Agriculturalamount_sheets" hidden="1">1</definedName>
    <definedName name="TotalDFAPF2Constructionamount_sheet0" hidden="1">"'Reports $_Delta Fcst '
0
"</definedName>
    <definedName name="TotalDFAPF2Constructionamount_sheets" hidden="1">1</definedName>
    <definedName name="TotalDFAPF2Mkt1523amount_sheet0" hidden="1">"'Reports $_Delta Fcst '
0
"</definedName>
    <definedName name="TotalDFAPF2Mkt1523amount_sheets" hidden="1">1</definedName>
    <definedName name="TotalDFEUF1Agriculturaamount_sheet0" hidden="1">"'Reports $_Delta Fcst '
0
"</definedName>
    <definedName name="TotalDFEUF1Agriculturaamount_sheets" hidden="1">1</definedName>
    <definedName name="TotalDFEUF1Construction.sqx_sheet0" hidden="1">"'Reports Units_Delta Fcst'
0
"</definedName>
    <definedName name="TotalDFEUF1Construction.sqx_sheets" hidden="1">1</definedName>
    <definedName name="TotalDFEUF1Constructionamount_sheet0" hidden="1">"'Reports $_Delta Fcst '
0
"</definedName>
    <definedName name="TotalDFEUF1Constructionamount_sheets" hidden="1">1</definedName>
    <definedName name="TotalDFEUF1Mkt.sqx_sheet0" hidden="1">"'Reports Units_Delta Fcst'
0
"</definedName>
    <definedName name="TotalDFEUF1Mkt.sqx_sheets" hidden="1">1</definedName>
    <definedName name="TotalDFEUF1Mkt1523amount_sheet0" hidden="1">"'Reports $_Delta Fcst '
0
"</definedName>
    <definedName name="TotalDFEUF1Mkt1523amount_sheets" hidden="1">1</definedName>
    <definedName name="TotalDFEUF1Mktamount_sheet0" hidden="1">"'Reports $_Delta Fcst '
0
"</definedName>
    <definedName name="TotalDFEUF1Mktamount_sheets" hidden="1">1</definedName>
    <definedName name="TotalDFEUF2Agriculturalamount_sheet0" hidden="1">"'Reports $_Delta Fcst '
0
"</definedName>
    <definedName name="TotalDFEUF2Agriculturalamount_sheets" hidden="1">1</definedName>
    <definedName name="TotalDFEUF2Construction_sheet0" hidden="1">"'Reports $_Delta Fcst '
0
"</definedName>
    <definedName name="TotalDFEUF2Construction_sheets" hidden="1">1</definedName>
    <definedName name="TotalDFEUF2Mkt1523amount_sheet0" hidden="1">"'Reports $_Delta Fcst '
0
"</definedName>
    <definedName name="TotalDFEUF2Mkt1523amount_sheets" hidden="1">1</definedName>
    <definedName name="TotalDFNAF1Agriculturalamount_sheet0" hidden="1">"'Reports $_Delta Fcst '
0
"</definedName>
    <definedName name="TotalDFNAF1Agriculturalamount_sheets" hidden="1">1</definedName>
    <definedName name="TotalDFNAF1Construction.sqx_sheet0" hidden="1">"'Reports Units_Delta Fcst'
0
"</definedName>
    <definedName name="TotalDFNAF1Construction.sqx_sheets" hidden="1">1</definedName>
    <definedName name="TotalDFNAF1Constructionamount_sheet0" hidden="1">"'Reports $_Delta Fcst '
0
"</definedName>
    <definedName name="TotalDFNAF1Constructionamount_sheets" hidden="1">1</definedName>
    <definedName name="TotalDFNAF1Mkt_sheet0" hidden="1">"'Reports Units_Delta Fcst'
0
"</definedName>
    <definedName name="TotalDFNAF1Mkt_sheets" hidden="1">1</definedName>
    <definedName name="TotalDFNAF1Mkt1523amount_sheet0" hidden="1">"'Reports $_Delta Fcst '
0
"</definedName>
    <definedName name="TotalDFNAF1Mkt1523amount_sheets" hidden="1">1</definedName>
    <definedName name="TotalDFNAF1Mktamount_sheet0" hidden="1">"'Reports $_Delta Fcst '
0
"</definedName>
    <definedName name="TotalDFNAF1Mktamount_sheets" hidden="1">1</definedName>
    <definedName name="TotalDFNAF2Agriculturalamount_sheet0" hidden="1">"'Reports $_Delta Fcst '
0
"</definedName>
    <definedName name="TotalDFNAF2Agriculturalamount_sheets" hidden="1">1</definedName>
    <definedName name="TotalDFNAF2Constructionamount_sheet0" hidden="1">"'Reports $_Delta Fcst '
0
"</definedName>
    <definedName name="TotalDFNAF2Constructionamount_sheets" hidden="1">1</definedName>
    <definedName name="TotalDFNAF2Mkt1523amount_sheet0" hidden="1">"'Reports $_Delta Fcst '
0
"</definedName>
    <definedName name="TotalDFNAF2Mkt1523amount_sheets" hidden="1">1</definedName>
    <definedName name="TotalDFSAF1Agriculturalamount_sheet0" hidden="1">"'Reports $_Delta Fcst '
0
"</definedName>
    <definedName name="TotalDFSAF1Agriculturalamount_sheets" hidden="1">1</definedName>
    <definedName name="TotalDFSAF1Construction.sqx_sheet0" hidden="1">"'Reports Units_Delta Fcst'
0
"</definedName>
    <definedName name="TotalDFSAF1Construction.sqx_sheets" hidden="1">1</definedName>
    <definedName name="TotalDFSAF1Constructionamount_sheet0" hidden="1">"'Reports $_Delta Fcst '
0
"</definedName>
    <definedName name="TotalDFSAF1Constructionamount_sheets" hidden="1">1</definedName>
    <definedName name="TotalDFSAF1Mkt_sheet0" hidden="1">"'Reports Units_Delta Fcst'
0
"</definedName>
    <definedName name="TotalDFSAF1Mkt_sheets" hidden="1">1</definedName>
    <definedName name="TotalDFSAF1Mkt1523amount_sheet0" hidden="1">"'Reports $_Delta Fcst '
0
"</definedName>
    <definedName name="TotalDFSAF1Mkt1523amount_sheets" hidden="1">1</definedName>
    <definedName name="TotalDFSAF1Mktamount_sheet0" hidden="1">"'Reports $_Delta Fcst '
0
"</definedName>
    <definedName name="TotalDFSAF1Mktamount_sheets" hidden="1">1</definedName>
    <definedName name="TotalDFSAF2Agriculturalamount_sheet0" hidden="1">"'Reports $_Delta Fcst '
0
"</definedName>
    <definedName name="TotalDFSAF2Agriculturalamount_sheets" hidden="1">1</definedName>
    <definedName name="TotalDFSAF2Constructionamount_sheet0" hidden="1">"'Reports $_Delta Fcst '
0
"</definedName>
    <definedName name="TotalDFSAF2Constructionamount_sheets" hidden="1">1</definedName>
    <definedName name="TotalDFSAF2Mkt1523amount_sheet0" hidden="1">"'Reports $_Delta Fcst '
0
"</definedName>
    <definedName name="TotalDFSAF2Mkt1523amount_sheets" hidden="1">1</definedName>
    <definedName name="TotalEU1_sheet0" hidden="1">"'Reports Units_Global_Month '
0
"</definedName>
    <definedName name="TotalEU1_sheets" hidden="1">1</definedName>
    <definedName name="TotalEU1amount_sheet0" hidden="1">"'Reports $_Global_Month'
0
"</definedName>
    <definedName name="TotalEU1amount_sheets" hidden="1">1</definedName>
    <definedName name="TotalEUDeltaF1F2amount_sheet0" hidden="1">"'Reports $_Global_Month'
0
"</definedName>
    <definedName name="TotalEUDeltaF1F2amount_sheets" hidden="1">1</definedName>
    <definedName name="TotalEUF1.sqx_sheet0" hidden="1">"'Reports Units_Global_Month '
0
"</definedName>
    <definedName name="TotalEUF1.sqx_sheets" hidden="1">1</definedName>
    <definedName name="TotalEUF1amount_sheet0" hidden="1">"'Reports $_Global_Month'
0
"</definedName>
    <definedName name="TotalEUF1amount_sheets" hidden="1">1</definedName>
    <definedName name="TotalEUF2.sqx_sheet0" hidden="1">"'Reports Units_Global_Month '
0
"</definedName>
    <definedName name="TotalEUF2.sqx_sheets" hidden="1">1</definedName>
    <definedName name="TotalEUF2amount_sheet0" hidden="1">"'Reports $_Global_Month'
0
"</definedName>
    <definedName name="TotalEUF2amount_sheets" hidden="1">1</definedName>
    <definedName name="TotalEUPlan.sqx_sheet0" hidden="1">"'Reports Units_Global_Month '
0
"</definedName>
    <definedName name="TotalEUPlan.sqx_sheets" hidden="1">1</definedName>
    <definedName name="TotalEUPlanamount_sheet0" hidden="1">"'Reports $_Global_Month'
0
"</definedName>
    <definedName name="TotalEUPlanamount_sheets" hidden="1">1</definedName>
    <definedName name="TotalEUSoldamount_sheet0" hidden="1">"'Reports $_Global_Month'
0
"</definedName>
    <definedName name="TotalEUSoldamount_sheets" hidden="1">1</definedName>
    <definedName name="TotalEUSoldF1.sqx_sheet0" hidden="1">"'Reports Units_Global_Month '
0
"</definedName>
    <definedName name="TotalEUSoldF1.sqx_sheets" hidden="1">1</definedName>
    <definedName name="TotalEUSoldF1amount_sheet0" hidden="1">"'Reports $_Global_Month'
0
"</definedName>
    <definedName name="TotalEUSoldF1amount_sheets" hidden="1">1</definedName>
    <definedName name="TotalMAP1.sqx_sheet0" hidden="1">"'Reports Units_by Market '
0
"</definedName>
    <definedName name="TotalMAP1.sqx_sheets" hidden="1">1</definedName>
    <definedName name="TotalMAP1amount_sheet0" hidden="1">"'Reports $_by Market'
0
"</definedName>
    <definedName name="TotalMAP1amount_sheets" hidden="1">1</definedName>
    <definedName name="TotalMAPDeltaF1F2.sqx_sheet0" hidden="1">"'Reports Units_by Market '
0
"</definedName>
    <definedName name="TotalMAPDeltaF1F2.sqx_sheets" hidden="1">1</definedName>
    <definedName name="TotalMAPDeltaF1F2amount_sheet0" hidden="1">"'Reports $_by Market'
0
"</definedName>
    <definedName name="TotalMAPDeltaF1F2amount_sheets" hidden="1">1</definedName>
    <definedName name="TotalMAPF1.sqx_sheet0" hidden="1">"'Reports Units_by Market '
0
"</definedName>
    <definedName name="TotalMAPF1.sqx_sheets" hidden="1">1</definedName>
    <definedName name="TotalMAPF1amount_sheet0" hidden="1">"'Reports $_by Market'
0
"</definedName>
    <definedName name="TotalMAPF1amount_sheets" hidden="1">1</definedName>
    <definedName name="TotalMAPF2.sqx_sheet0" hidden="1">"'Reports Units_by Market TEST'
0
"</definedName>
    <definedName name="TotalMAPF2.sqx_sheets" hidden="1">1</definedName>
    <definedName name="TotalMAPF2amount_sheet0" hidden="1">"'Reports $_by Market'
0
"</definedName>
    <definedName name="TotalMAPF2amount_sheets" hidden="1">1</definedName>
    <definedName name="TotalMAPPlan.sqx_sheet0" hidden="1">"'Reports Units_by Market '
0
"</definedName>
    <definedName name="TotalMAPPlan.sqx_sheets" hidden="1">1</definedName>
    <definedName name="TotalMAPPlanamount_sheet0" hidden="1">"'Reports $_by Market'
0
"</definedName>
    <definedName name="TotalMAPPlanamount_sheets" hidden="1">1</definedName>
    <definedName name="TotalMAPSoldamount_sheet0" hidden="1">"'Reports $_by Market'
0
"</definedName>
    <definedName name="TotalMAPSoldamount_sheets" hidden="1">1</definedName>
    <definedName name="TotalMAPSoldF1.sqx_sheet0" hidden="1">"'Reports Units_by Market '
0
"</definedName>
    <definedName name="TotalMAPSoldF1.sqx_sheets" hidden="1">1</definedName>
    <definedName name="TotalMAPSoldF1amount_sheet0" hidden="1">"'Reports $_by Market'
0
"</definedName>
    <definedName name="TotalMAPSoldF1amount_sheets" hidden="1">1</definedName>
    <definedName name="TotalMEU1amount_sheet0" hidden="1">"'Reports $_by Market'
0
"</definedName>
    <definedName name="TotalMEU1amount_sheets" hidden="1">1</definedName>
    <definedName name="TotalMEUDeltaF1F2.sqx_sheet0" hidden="1">"'Reports Units_by Market '
0
"</definedName>
    <definedName name="TotalMEUDeltaF1F2.sqx_sheets" hidden="1">1</definedName>
    <definedName name="TotalMEUDeltaF1F2amount_sheet0" hidden="1">"'Reports $_by Market'
0
"</definedName>
    <definedName name="TotalMEUDeltaF1F2amount_sheets" hidden="1">1</definedName>
    <definedName name="TotalMEUF1.sqx_sheet0" hidden="1">"'Reports Units_by Market '
0
"</definedName>
    <definedName name="TotalMEUF1.sqx_sheets" hidden="1">1</definedName>
    <definedName name="TotalMEUF1amount_sheet0" hidden="1">"'Reports $_by Market'
0
"</definedName>
    <definedName name="TotalMEUF1amount_sheets" hidden="1">1</definedName>
    <definedName name="TotalMEUF2.sqx_sheet0" hidden="1">"'Reports Units_by Market '
0
"</definedName>
    <definedName name="TotalMEUF2.sqx_sheets" hidden="1">1</definedName>
    <definedName name="TotalMEUF2amount_sheet0" hidden="1">"'Reports $_by Market'
0
"</definedName>
    <definedName name="TotalMEUF2amount_sheets" hidden="1">1</definedName>
    <definedName name="TotalMEUPlan.sqx_sheet0" hidden="1">"'Reports Units_by Market '
0
"</definedName>
    <definedName name="TotalMEUPlan.sqx_sheets" hidden="1">1</definedName>
    <definedName name="TotalMEUPlanamount_sheet0" hidden="1">"'Reports $_by Market'
0
"</definedName>
    <definedName name="TotalMEUPlanamount_sheets" hidden="1">1</definedName>
    <definedName name="TotalMEUS.sqx_sheet0" hidden="1">"'Reports Units_by Market '
0
"</definedName>
    <definedName name="TotalMEUS.sqx_sheets" hidden="1">1</definedName>
    <definedName name="TotalMEUSoldamount_sheet0" hidden="1">"'Reports $_by Market'
0
"</definedName>
    <definedName name="TotalMEUSoldamount_sheets" hidden="1">1</definedName>
    <definedName name="TotalMEUSoldF1.sqx_sheet0" hidden="1">"'Reports Units_by Market '
0
"</definedName>
    <definedName name="TotalMEUSoldF1.sqx_sheets" hidden="1">1</definedName>
    <definedName name="TotalMEUSoldF1amount_sheet0" hidden="1">"'Reports $_by Market'
0
"</definedName>
    <definedName name="TotalMEUSoldF1amount_sheets" hidden="1">1</definedName>
    <definedName name="TotalMNA1_sheet0" hidden="1">"'Reports Units_by Market '
0
"</definedName>
    <definedName name="TotalMNA1_sheets" hidden="1">1</definedName>
    <definedName name="TotalMNA1.sqx_sheet0" hidden="1">"'Reports Units_by Market '
0
"</definedName>
    <definedName name="TotalMNA1.sqx_sheets" hidden="1">1</definedName>
    <definedName name="TotalMNA1amount_sheet0" hidden="1">"'Reports $_by Market'
0
"</definedName>
    <definedName name="TotalMNA1amount_sheets" hidden="1">1</definedName>
    <definedName name="TotalMNADeltaF1F2.sqx_sheet0" hidden="1">"'Reports Units_by Market '
0
"</definedName>
    <definedName name="TotalMNADeltaF1F2.sqx_sheets" hidden="1">1</definedName>
    <definedName name="TotalMNADeltaF1F2amount_sheet0" hidden="1">"'Reports $_by Market'
0
"</definedName>
    <definedName name="TotalMNADeltaF1F2amount_sheets" hidden="1">1</definedName>
    <definedName name="TotalMNAF1.sqx_sheet0" hidden="1">"'Reports Units_by Market '
0
"</definedName>
    <definedName name="TotalMNAF1.sqx_sheets" hidden="1">1</definedName>
    <definedName name="TotalMNAF1amount_sheet0" hidden="1">"'Reports $_by Market'
0
"</definedName>
    <definedName name="TotalMNAF1amount_sheets" hidden="1">1</definedName>
    <definedName name="TotalMNAF2amount_sheet0" hidden="1">"'Reports $_by Market'
0
"</definedName>
    <definedName name="TotalMNAF2amount_sheets" hidden="1">1</definedName>
    <definedName name="TotalMNAPlan.sqx_sheet0" hidden="1">"'Reports Units_by Market '
0
"</definedName>
    <definedName name="TotalMNAPlan.sqx_sheets" hidden="1">1</definedName>
    <definedName name="TotalMNAPlanamount_sheet0" hidden="1">"'Reports $_by Market'
0
"</definedName>
    <definedName name="TotalMNAPlanamount_sheets" hidden="1">1</definedName>
    <definedName name="TotalMNAS.sqx_sheet0" hidden="1">"'Reports Units_by Market '
0
"</definedName>
    <definedName name="TotalMNAS.sqx_sheets" hidden="1">1</definedName>
    <definedName name="TotalMNASoldamount_sheet0" hidden="1">"'Reports $_by Market'
0
"</definedName>
    <definedName name="TotalMNASoldamount_sheets" hidden="1">1</definedName>
    <definedName name="TotalMNASoldF1.sqx_sheet0" hidden="1">"'Reports Units_by Market '
0
"</definedName>
    <definedName name="TotalMNASoldF1.sqx_sheets" hidden="1">1</definedName>
    <definedName name="TotalMNASoldF1amount_sheet0" hidden="1">"'Reports $_by Market'
0
"</definedName>
    <definedName name="TotalMNASoldF1amount_sheets" hidden="1">1</definedName>
    <definedName name="TotalMSA1_sheet0" hidden="1">"'Reports Units_by Market '
0
"</definedName>
    <definedName name="TotalMSA1_sheets" hidden="1">1</definedName>
    <definedName name="TotalMSA1amount_sheet0" hidden="1">"'Reports $_by Market'
0
"</definedName>
    <definedName name="TotalMSA1amount_sheets" hidden="1">1</definedName>
    <definedName name="TotalMSADeltaF1F2.sqx_sheet0" hidden="1">"'Reports Units_by Market '
0
"</definedName>
    <definedName name="TotalMSADeltaF1F2.sqx_sheets" hidden="1">1</definedName>
    <definedName name="TotalMSADeltaF1F2amount_sheet0" hidden="1">"'Reports $_by Market'
0
"</definedName>
    <definedName name="TotalMSADeltaF1F2amount_sheets" hidden="1">1</definedName>
    <definedName name="TotalMSAF1.sqx_sheet0" hidden="1">"'Reports Units_by Market '
0
"</definedName>
    <definedName name="TotalMSAF1.sqx_sheets" hidden="1">1</definedName>
    <definedName name="TotalMSAF1amount_sheet0" hidden="1">"'Reports $_by Market'
0
"</definedName>
    <definedName name="TotalMSAF1amount_sheets" hidden="1">1</definedName>
    <definedName name="TotalMSAF2.sqx_sheet0" hidden="1">"'Reports Units_by Market '
0
"</definedName>
    <definedName name="TotalMSAF2.sqx_sheets" hidden="1">1</definedName>
    <definedName name="TotalMSAF2amount_sheet0" hidden="1">"'Reports $_by Market'
0
"</definedName>
    <definedName name="TotalMSAF2amount_sheets" hidden="1">1</definedName>
    <definedName name="TotalMSAPlan.sqx_sheet0" hidden="1">"'Reports Units_by Market '
0
"</definedName>
    <definedName name="TotalMSAPlan.sqx_sheets" hidden="1">1</definedName>
    <definedName name="TotalMSAPlanamount_sheet0" hidden="1">"'Reports $_by Market'
0
"</definedName>
    <definedName name="TotalMSAPlanamount_sheets" hidden="1">1</definedName>
    <definedName name="TotalMSAS.sqx_sheet0" hidden="1">"'Reports Units_by Market '
0
"</definedName>
    <definedName name="TotalMSAS.sqx_sheets" hidden="1">1</definedName>
    <definedName name="TotalMSASoldF1.sqx_sheet0" hidden="1">"'Reports Units_by Market '
0
"</definedName>
    <definedName name="TotalMSASoldF1.sqx_sheets" hidden="1">1</definedName>
    <definedName name="TotalMSASoldF1amount_sheet0" hidden="1">"'Reports $_by Market'
0
"</definedName>
    <definedName name="TotalMSASoldF1amount_sheets" hidden="1">1</definedName>
    <definedName name="TotalNA1.sqx_sheet0" hidden="1">"'Reports Units_Global_Month '
0
"</definedName>
    <definedName name="TotalNA1.sqx_sheets" hidden="1">1</definedName>
    <definedName name="TotalNA1amount_sheet0" hidden="1">"'Reports $_Global_Month'
0
"</definedName>
    <definedName name="TotalNA1amount_sheets" hidden="1">1</definedName>
    <definedName name="TotalNADeltaF1F2.sqx_sheet0" hidden="1">"'Reports Units_Global_Month '
0
"</definedName>
    <definedName name="TotalNADeltaF1F2.sqx_sheets" hidden="1">1</definedName>
    <definedName name="TotalNADeltaF1F2amount_sheet0" hidden="1">"'Reports $_Global_Month'
0
"</definedName>
    <definedName name="TotalNADeltaF1F2amount_sheets" hidden="1">1</definedName>
    <definedName name="TotalNAF1.sqx_sheet0" hidden="1">"'Reports Units_Global_Month '
0
"</definedName>
    <definedName name="TotalNAF1.sqx_sheets" hidden="1">1</definedName>
    <definedName name="TotalNAF1amount_sheet0" hidden="1">"'Reports $_Global_Month'
0
"</definedName>
    <definedName name="TotalNAF1amount_sheets" hidden="1">1</definedName>
    <definedName name="TotalNAF2.sqx_sheet0" hidden="1">"'Reports Units_Global_Month '
0
"</definedName>
    <definedName name="TotalNAF2.sqx_sheets" hidden="1">1</definedName>
    <definedName name="TotalNAF2amount_sheet0" hidden="1">"'Reports $_Global_Month'
0
"</definedName>
    <definedName name="TotalNAF2amount_sheets" hidden="1">1</definedName>
    <definedName name="TotalNAPlan.sqx_sheet0" hidden="1">"'Reports Units_Global_Month '
0
"</definedName>
    <definedName name="TotalNAPlan.sqx_sheets" hidden="1">1</definedName>
    <definedName name="TotalNAPlanamount_sheet0" hidden="1">"'Reports $_Global_Month'
0
"</definedName>
    <definedName name="TotalNAPlanamount_sheets" hidden="1">1</definedName>
    <definedName name="TotalNASoldamount_sheet0" hidden="1">"'Reports $_Global_Month'
0
"</definedName>
    <definedName name="TotalNASoldamount_sheets" hidden="1">1</definedName>
    <definedName name="TotalNASoldF1.sqx_sheet0" hidden="1">"'Reports Units_Global_Month '
0
"</definedName>
    <definedName name="TotalNASoldF1.sqx_sheets" hidden="1">1</definedName>
    <definedName name="TotalNASoldF1amount_sheet0" hidden="1">"'Reports $_Global_Month'
0
"</definedName>
    <definedName name="TotalNASoldF1amount_sheets" hidden="1">1</definedName>
    <definedName name="TotalRegions_Markets.sqx_sheet0" hidden="1">"'Reports Units_Global full year'
0
"</definedName>
    <definedName name="TotalRegions_Markets.sqx_sheets" hidden="1">1</definedName>
    <definedName name="TotalRegions_MarketsAmounts.sqx_sheet0" hidden="1">"'Reports $_Global full year'
0
"</definedName>
    <definedName name="TotalRegions_MarketsAmounts.sqx_sheets" hidden="1">1</definedName>
    <definedName name="TotalSA1.sqx_sheet0" hidden="1">"'Reports Units_Global_Month '
0
"</definedName>
    <definedName name="TotalSA1.sqx_sheets" hidden="1">1</definedName>
    <definedName name="TotalSA1amount_sheet0" hidden="1">"'Reports $_Global_Month'
0
"</definedName>
    <definedName name="TotalSA1amount_sheets" hidden="1">1</definedName>
    <definedName name="TotalSADeltaF1F2.sqx_sheet0" hidden="1">"'Reports Units_Global_Month '
0
"</definedName>
    <definedName name="TotalSADeltaF1F2.sqx_sheets" hidden="1">1</definedName>
    <definedName name="TotalSADeltaF1F2amount_sheet0" hidden="1">"'Reports $_Global_Month'
0
"</definedName>
    <definedName name="TotalSADeltaF1F2amount_sheets" hidden="1">1</definedName>
    <definedName name="TotalSAF1.sqx_sheet0" hidden="1">"'Reports Units_Global_Month '
0
"</definedName>
    <definedName name="TotalSAF1.sqx_sheets" hidden="1">1</definedName>
    <definedName name="TotalSAF1amount_sheet0" hidden="1">"'Reports $_Global_Month'
0
"</definedName>
    <definedName name="TotalSAF1amount_sheets" hidden="1">1</definedName>
    <definedName name="TotalSAF2.sqx_sheet0" hidden="1">"'Reports Units_Global_Month '
0
"</definedName>
    <definedName name="TotalSAF2.sqx_sheets" hidden="1">1</definedName>
    <definedName name="TotalSAF2amount_sheet0" hidden="1">"'Reports $_Global_Month'
0
"</definedName>
    <definedName name="TotalSAF2amount_sheets" hidden="1">1</definedName>
    <definedName name="TotalSAPlan.sqx_sheet0" hidden="1">"'Reports Units_Global_Month '
0
"</definedName>
    <definedName name="TotalSAPlan.sqx_sheets" hidden="1">1</definedName>
    <definedName name="TotalSAPlanamount_sheet0" hidden="1">"'Reports $_Global_Month'
0
"</definedName>
    <definedName name="TotalSAPlanamount_sheets" hidden="1">1</definedName>
    <definedName name="TotalSASoldamount_sheet0" hidden="1">"'Reports $_Global_Month'
0
"</definedName>
    <definedName name="TotalSASoldamount_sheets" hidden="1">1</definedName>
    <definedName name="TotalSASoldF1.sqx_sheet0" hidden="1">"'Reports Units_Global_Month '
0
"</definedName>
    <definedName name="TotalSASoldF1.sqx_sheets" hidden="1">1</definedName>
    <definedName name="TotalSASoldF1amount_sheet0" hidden="1">"'Reports $_Global_Month'
0
"</definedName>
    <definedName name="TotalSASoldF1amount_sheets" hidden="1">1</definedName>
    <definedName name="TotalSoldAndF1.sqx_sheet0" hidden="1">"'TotalSoldAndF1.sqx'
0
"</definedName>
    <definedName name="TotalSoldAndF1.sqx_sheets" hidden="1">1</definedName>
    <definedName name="TotalSoldAndF1Amounts.sqx_sheet0" hidden="1">"'TotalSoldAndF1Amounts.sqx'
0
"</definedName>
    <definedName name="TotalSoldAndF1Amounts.sqx_sheets" hidden="1">1</definedName>
    <definedName name="TotalSoldAndF2.sqx_sheet0" hidden="1">"'TotalSoldAndF2.sqx'
0
"</definedName>
    <definedName name="TotalSoldAndF2.sqx_sheets" hidden="1">1</definedName>
    <definedName name="TotalSoldAndF2Amounts.sqx_sheet0" hidden="1">"'TotalSoldAndF2Amounts.sqx'
0
"</definedName>
    <definedName name="TotalSoldAndF2Amounts.sqx_sheets" hidden="1">1</definedName>
    <definedName name="touquois" hidden="1">#REF!</definedName>
    <definedName name="TP_Footer_User" hidden="1">"LEGARSE"</definedName>
    <definedName name="TP_Footer_Version" hidden="1">"v4.00"</definedName>
    <definedName name="trdr04" hidden="1">{"Summary",#N/A,FALSE,"Schedule4"}</definedName>
    <definedName name="tss" hidden="1">{#N/A,#N/A,TRUE,"ProFormaProfit";#N/A,#N/A,TRUE,"ProFormaCash";#N/A,#N/A,TRUE,"Depreciation";#N/A,#N/A,TRUE,"Assets";#N/A,#N/A,TRUE,"Revenue";#N/A,#N/A,TRUE,"EstimatedPurchase"}</definedName>
    <definedName name="tt" hidden="1">{"works expense",#N/A,FALSE,"WORKS EXPENSE"}</definedName>
    <definedName name="turnip" hidden="1">#REF!</definedName>
    <definedName name="tut" hidden="1">{#N/A,#N/A,TRUE,"ProFormaProfit";#N/A,#N/A,TRUE,"ProFormaCash";#N/A,#N/A,TRUE,"Depreciation";#N/A,#N/A,TRUE,"Assets";#N/A,#N/A,TRUE,"Revenue";#N/A,#N/A,TRUE,"EstimatedPurchase"}</definedName>
    <definedName name="u" hidden="1">{#N/A,#N/A,TRUE,"Cover  Page";#N/A,#N/A,TRUE,"DAILY  RATE";#N/A,#N/A,TRUE,"Comprod";#N/A,#N/A,TRUE,"Monthly Prod ´01";#N/A,#N/A,TRUE,"Calendar Year  2001";#N/A,#N/A,TRUE,"Monthly Rate ´01";#N/A,#N/A,TRUE,"VENEZUELA";#N/A,#N/A,TRUE,"COLOMBIA";#N/A,#N/A,TRUE,"ECUADOR"}</definedName>
    <definedName name="ugyi" hidden="1">{#N/A,#N/A,FALSE,"output";#N/A,#N/A,FALSE,"contrib";#N/A,#N/A,FALSE,"profile";#N/A,#N/A,FALSE,"comps"}</definedName>
    <definedName name="uhno" hidden="1">#REF!</definedName>
    <definedName name="umy" hidden="1">{"comps",#N/A,FALSE,"comps";"notes",#N/A,FALSE,"comps"}</definedName>
    <definedName name="un" hidden="1">{"works expense",#N/A,FALSE,"WORKS EXPENSE"}</definedName>
    <definedName name="urtutrityityityuityi" hidden="1">{#N/A,#N/A,TRUE,"Pro Forma";#N/A,#N/A,TRUE,"PF_Bal";#N/A,#N/A,TRUE,"PF_INC";#N/A,#N/A,TRUE,"CBE";#N/A,#N/A,TRUE,"SWK"}</definedName>
    <definedName name="v" hidden="1">{"'Comprod'!$A$1:$Q$132"}</definedName>
    <definedName name="ve" hidden="1">#REF!</definedName>
    <definedName name="vf" hidden="1">#REF!</definedName>
    <definedName name="vh" hidden="1">#REF!</definedName>
    <definedName name="vi" hidden="1">#REF!</definedName>
    <definedName name="vk" hidden="1">#REF!</definedName>
    <definedName name="vm" hidden="1">#REF!</definedName>
    <definedName name="vnvvm" hidden="1">#REF!</definedName>
    <definedName name="vp" hidden="1">#REF!</definedName>
    <definedName name="vq" hidden="1">#REF!</definedName>
    <definedName name="vs" hidden="1">#REF!</definedName>
    <definedName name="vt" hidden="1">#REF!</definedName>
    <definedName name="vyv" hidden="1">#REF!</definedName>
    <definedName name="vz" hidden="1">#REF!</definedName>
    <definedName name="w" hidden="1">{#N/A,#N/A,TRUE,"HOJA 1 (P)";#N/A,#N/A,TRUE,"HOJA 2 (P)";#N/A,#N/A,TRUE,"HOJA 3 (P)";#N/A,#N/A,TRUE,"HOJA 4 (P)"}</definedName>
    <definedName name="water" hidden="1">#REF!</definedName>
    <definedName name="wer" hidden="1">{"comp1",#N/A,FALSE,"COMPS";"footnotes",#N/A,FALSE,"COMPS"}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w" hidden="1">#REF!</definedName>
    <definedName name="WkQ112Q113" hidden="1">{"page1",#N/A,TRUE,"Summary";"page2",#N/A,TRUE,"Pension";"page3",#N/A,TRUE,"Pension";"page4",#N/A,TRUE,"Medical";"page5",#N/A,TRUE,"Medical"}</definedName>
    <definedName name="wq" hidden="1">#REF!</definedName>
    <definedName name="wrn_eva" hidden="1">{"EVA",#N/A,FALSE,"EVA";"WACC",#N/A,FALSE,"WACC"}</definedName>
    <definedName name="wrn_otpt" hidden="1">{"DCF","UPSIDE CASE",FALSE,"Sheet1";"DCF","BASE CASE",FALSE,"Sheet1";"DCF","DOWNSIDE CASE",FALSE,"Sheet1"}</definedName>
    <definedName name="wrn.1.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b." hidden="1">{#N/A,#N/A,TRUE,"HOJA 1 (P)";#N/A,#N/A,TRUE,"HOJA 2 (P)";#N/A,#N/A,TRUE,"HOJA 3 (P)";#N/A,#N/A,TRUE,"HOJA 4 (P)"}</definedName>
    <definedName name="WRN.2." hidden="1">{#N/A,#N/A,FALSE,"Calc";#N/A,#N/A,FALSE,"Sensitivity";#N/A,#N/A,FALSE,"LT Earn.Dil.";#N/A,#N/A,FALSE,"Dil. AVP"}</definedName>
    <definedName name="wrn.2._.pagers." hidden="1">{"Cover",#N/A,FALSE,"Cover";"Summary",#N/A,FALSE,"Summarpage"}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A.._.Print._.All." hidden="1">{"A COM Detail YTD",#N/A,FALSE,"DATA";"B Exp Detail YTD",#N/A,FALSE,"DATA";"C COM Detail Qtr of",#N/A,FALSE,"DATA";"D Exp Detail Qtr of",#N/A,FALSE,"DATA";"A Performance Report",#N/A,FALSE,"%Performance"}</definedName>
    <definedName name="wrn.acmp." hidden="1">{#N/A,#N/A,FALSE,"SGP";#N/A,#N/A,FALSE,"SGI";#N/A,#N/A,FALSE,"SGC";#N/A,#N/A,FALSE,"SGS";#N/A,#N/A,FALSE,"SGB"}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JUSTE._.INVENTARIOS." hidden="1">{#N/A,#N/A,FALSE,"AJ. LATAS";#N/A,#N/A,FALSE,"AJ. CONC";#N/A,#N/A,FALSE,"AJ. P.T."}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Deparments._.Staffing._.Plans." hidden="1">{"Pgm Mngt S/P",#N/A,FALSE,"Prg Mgt";"Govt Rltns S/P",#N/A,FALSE,"Govt Rltns";"HR S/P",#N/A,FALSE,"HR";"B&amp;A S/P",#N/A,FALSE,"B&amp;A";"Prjt Cntrl S/P",#N/A,FALSE,"Prjct Cntrls";"Contracts S/P",#N/A,FALSE,"Cntrct";"QA S/P",#N/A,FALSE,"QA";"IT S/P",#N/A,FALSE,"IT";"DC S/P",#N/A,FALSE,"DC";"PMM S/P",#N/A,FALSE,"PMM";"HSE S/P",#N/A,FALSE,"HSE";"ENG'G S/P",#N/A,FALSE,"Eng'g";"Comm'g S/P",#N/A,FALSE,"Comm'g";"Const SP",#N/A,FALSE,"Cnstrctn";"Construction SP1",#N/A,FALSE,"Cnstrctn"}</definedName>
    <definedName name="wrn.All._.Departments._.CM." hidden="1">{"All Departments Cost Model Summary",#N/A,FALSE,"Ttl Prjct Cost";"Prm Mgnt CM",#N/A,FALSE,"Prg Mgt";"Govt Rltns CM",#N/A,FALSE,"Govt Rltns";"HR CM",#N/A,FALSE,"HR";"B&amp;A CM",#N/A,FALSE,"B&amp;A";"Prjt Cntl CM",#N/A,FALSE,"Prjct Cntrls";"Cntct CM",#N/A,FALSE,"Cntrct";"QA CM",#N/A,FALSE,"QA";"IT CM",#N/A,FALSE,"IT";"DC CM",#N/A,FALSE,"DC";"PMM CM",#N/A,FALSE,"PMM";"HSE CM",#N/A,FALSE,"HSE";"Eng'g CM",#N/A,FALSE,"Eng'g";"Cnstrctn CM",#N/A,FALSE,"Cnstrctn";"Comm'g CM",#N/A,FALSE,"Comm'g"}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pages." hidden="1">{#N/A,#N/A,TRUE,"Historicals";#N/A,#N/A,TRUE,"Charts";#N/A,#N/A,TRUE,"Forecasts"}</definedName>
    <definedName name="wrn.Ansr._.Model." hidden="1">{"Ansrpg1",#N/A,FALSE,"Income";"Ansrpg2",#N/A,FALSE,"Income";"Ansrpg3",#N/A,FALSE,"Income";"Ansrpg4",#N/A,FALSE,"Income"}</definedName>
    <definedName name="wrn.AQUIROR._.DCF." hidden="1">{"AQUIRORDCF",#N/A,FALSE,"Merger consequences";"Acquirorassns",#N/A,FALSE,"Merger consequences"}</definedName>
    <definedName name="wrn.assumptions." hidden="1">{"casespecific",#N/A,FALSE,"Assumptions"}</definedName>
    <definedName name="wrn.away." hidden="1">{"away stand alones",#N/A,FALSE,"Target"}</definedName>
    <definedName name="wrn.B_print" hidden="1">{"A COM Detail YTD",#N/A,FALSE,"DATA";"B Exp Detail YTD",#N/A,FALSE,"DATA";"C COM Detail Qtr of",#N/A,FALSE,"DATA";"D Exp Detail Qtr of",#N/A,FALSE,"DATA";"A Performance Report",#N/A,FALSE,"%Performance"}</definedName>
    <definedName name="wrn.B.._.Qtr._.of._.Responsibility." hidden="1">{"C COM Detail Qtr of",#N/A,FALSE,"DATA";"D Exp Detail Qtr of",#N/A,FALSE,"DATA"}</definedName>
    <definedName name="wrn.backup." hidden="1">{"background",#N/A,FALSE,"CS First Boston Merger Model";"inputs",#N/A,FALSE,"CS First Boston Merger Model"}</definedName>
    <definedName name="wrn.BID." hidden="1">{"PAGE1",#N/A,FALSE,"BID (3)";"PAGE2",#N/A,FALSE,"BID (3)"}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ian." hidden="1">{#N/A,#N/A,FALSE,"output";#N/A,#N/A,FALSE,"contrib";#N/A,#N/A,FALSE,"profile";#N/A,#N/A,FALSE,"comps"}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.._.YTD._.Responsibility." hidden="1">{"A COM Detail YTD",#N/A,FALSE,"DATA";"B Exp Detail YTD",#N/A,FALSE,"DATA"}</definedName>
    <definedName name="wrn.capital." hidden="1">{"capital",#N/A,FALSE,"CAPITAL_DEP'N"}</definedName>
    <definedName name="wrn.CAPITAL._.DETAIL." hidden="1">{"CAPITAL DETAIL",#N/A,FALSE,"1993"}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er._.form." hidden="1">{#N/A,#N/A,TRUE,"ExecSumm";#N/A,#N/A,TRUE,"Summary";#N/A,#N/A,TRUE,"Sensitivity";#N/A,#N/A,TRUE,"One-time Summary";#N/A,#N/A,TRUE,"Severance";#N/A,#N/A,TRUE,"Labor";#N/A,#N/A,TRUE,"One Time";#N/A,#N/A,TRUE,"ME";#N/A,#N/A,TRUE,"Overhead";#N/A,#N/A,TRUE,"NPV Detail"}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OBRANZA." hidden="1">{#N/A,#N/A,FALSE,"5";#N/A,#N/A,FALSE,"COBRANZA"}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{"comps",#N/A,FALSE,"comps";"notes",#N/A,FALSE,"comps"}</definedName>
    <definedName name="wrn.cooper." hidden="1">{#N/A,#N/A,TRUE,"Pro Forma";#N/A,#N/A,TRUE,"PF_Bal";#N/A,#N/A,TRUE,"PF_INC";#N/A,#N/A,TRUE,"CBE";#N/A,#N/A,TRUE,"SWK"}</definedName>
    <definedName name="wrn.CVG._.5._.Yr.._.model." hidden="1">{"Financial View",#N/A,FALSE,"Annual";"BS, CF, assns view",#N/A,FALSE,"BS and SCF";"DCF view",#N/A,FALSE,"Valuation";"Sensitivity View",#N/A,FALSE,"Valuation"}</definedName>
    <definedName name="wrn.D.._.Performance." hidden="1">{"A Performance Report",#N/A,FALSE,"%Performance"}</definedName>
    <definedName name="wrn.DCF_Terminal_Value_qchm." hidden="1">{"qchm_dcf",#N/A,FALSE,"QCHMDCF2";"qchm_terminal",#N/A,FALSE,"QCHMDCF2"}</definedName>
    <definedName name="wrn.DCF." hidden="1">{"DCF1",#N/A,FALSE,"SIERRA DCF";"MATRIX1",#N/A,FALSE,"SIERRA DCF"}</definedName>
    <definedName name="wrn.dcf2" hidden="1">{"mgmt forecast",#N/A,FALSE,"Mgmt Forecast";"dcf table",#N/A,FALSE,"Mgmt Forecast";"sensitivity",#N/A,FALSE,"Mgmt Forecast";"table inputs",#N/A,FALSE,"Mgmt Forecast";"calculations",#N/A,FALSE,"Mgmt Forecast"}</definedName>
    <definedName name="wrn.detail." hidden="1">{"Build1",#N/A,FALSE,"Buildup";"Build2",#N/A,FALSE,"Buildup";"Build3",#N/A,FALSE,"Buildup"}</definedName>
    <definedName name="wrn.Detailed." hidden="1">{"Detailed",#N/A,FALSE,"Schedule4"}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ation." hidden="1">{"document1",#N/A,FALSE,"Documentation";"document2",#N/A,FALSE,"Documentation"}</definedName>
    <definedName name="wrn.documenthand." hidden="1">{"comps",#N/A,FALSE,"HANDPACK";"footnotes",#N/A,FALSE,"HANDPACK"}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quity._.comps." hidden="1">{"equity comps",#N/A,FALSE,"CS Comps";"equity comps",#N/A,FALSE,"PS Comps";"equity comps",#N/A,FALSE,"GIC_Comps";"equity comps",#N/A,FALSE,"GIC2_Comps"}</definedName>
    <definedName name="wrn.ESTADOS._.FINANCIEROS." hidden="1">{#N/A,#N/A,TRUE,"B.G. Y E.R.";#N/A,#N/A,TRUE,"ANEXOS B.G.";#N/A,#N/A,TRUE,"ANEXO E.R. GASTOS"}</definedName>
    <definedName name="wrn.Facilities." hidden="1">{"All Years",#N/A,FALSE,"All Years";"Kentwood",#N/A,FALSE,"Kentwood";"Pax",#N/A,FALSE,"Pax";"SC",#N/A,FALSE,"SC";"F&amp;P",#N/A,FALSE,"F&amp;P";"Brazil",#N/A,FALSE,"Brazil";"California",#N/A,FALSE,"California";"Alti",#N/A,FALSE,"Alti"}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ull." hidden="1">{"Comp1",#N/A,FALSE,"COMP";"Comp2",#N/A,FALSE,"COMP";"Comp3",#N/A,FALSE,"COMP";"Comp4",#N/A,FALSE,"COMP"}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cheds." hidden="1">{#N/A,#N/A,FALSE,"Divider-Lease Doc Scheds";#N/A,#N/A,FALSE,"Sched. 6 Headlease";#N/A,#N/A,FALSE,"Headlease Calculations";#N/A,#N/A,FALSE,"Sched. 7 Headlease";#N/A,#N/A,FALSE,"Sched. 12 Headlease";#N/A,#N/A,FALSE,"Sched. 13 Headlease";#N/A,#N/A,FALSE,"Sublease Doc Scheds";#N/A,#N/A,FALSE,"Sched. 6 Sub";#N/A,#N/A,FALSE,"Sub Rent Calcs";#N/A,#N/A,FALSE,"Sched. 6-2 Sub";#N/A,#N/A,FALSE,"Rebate Calcs";#N/A,#N/A,FALSE,"Sched. 6-3 Sub ";#N/A,#N/A,FALSE,"Sched. 7 Sub";#N/A,#N/A,FALSE,"Sched. 7-2 Sub";#N/A,#N/A,FALSE,"Sched. 7-3 Sub ";#N/A,#N/A,FALSE,"Sched. 7-4 Sub ";#N/A,#N/A,FALSE,"Sched. 7-5 Sub ";#N/A,#N/A,FALSE,"Sched. 7-6 Sub";#N/A,#N/A,FALSE,"Stip Loss Calcs";#N/A,#N/A,FALSE,"Sched. 12 Sublease P.A. Last 2";#N/A,#N/A,FALSE,"Divider- Jr. Loan &amp; Bank Dep";#N/A,#N/A,FALSE,"Total Bank Deposit Schedule";#N/A,#N/A,FALSE,"Bank Deposit Schedule A1";#N/A,#N/A,FALSE,"Bank Deposit Schedule B1";#N/A,#N/A,FALSE,"Bank Deposit Schedule A2";#N/A,#N/A,FALSE,"Bank Deposit Schedule B2";#N/A,#N/A,FALSE,"Total Junior Note Schedule";#N/A,#N/A,FALSE,"Sched 1 Jr Loan A";#N/A,#N/A,FALSE,"Sched 1 Jr. Loan B";#N/A,#N/A,FALSE,"Sched 1 Jr. Note A";#N/A,#N/A,FALSE,"Sched 1 Jr. Note B";#N/A,#N/A,FALSE,"Divider-Senior (ECA) Scheds";#N/A,#N/A,FALSE,"Divider-Back Up Scheds";#N/A,#N/A,FALSE,"Senior Loan";#N/A,#N/A,FALSE,"ECA Supported Loan";#N/A,#N/A,FALSE,"Commercial Loan"}</definedName>
    <definedName name="wrn.FullReport.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.Headoffice._.euro." hidden="1">{"HO_sum_e",#N/A,FALSE,"Headoffice Summary";"Admin_sum_e",#N/A,FALSE,"ADMIN Sum";"Admin01_e",#N/A,FALSE,"ADMIN01";"Admin02_e",#N/A,FALSE,"ADMIN02";"AUXRE_e",#N/A,FALSE,"AUXRE";"CORAL_e",#N/A,FALSE,"CORAL";"GENGM_e",#N/A,FALSE,"GENGM";"HUMRE_sum_e",#N/A,FALSE,"HUMRE Sum";"HUMRE_01_e",#N/A,FALSE,"HUMRE01";"HUMRE01_e",#N/A,FALSE,"HUMRE02";"HUMRE03_e",#N/A,FALSE,"HUMRE03";"HUMRE04_e",#N/A,FALSE,"HUMRE04";"LGLGM_e",#N/A,FALSE,"LGLGM";"MKTGL_sum_e",#N/A,FALSE,"MKTGL Sum";"MKTGL01_e",#N/A,FALSE,"MKTGL01";"MKTGL02_e",#N/A,FALSE,"MKTGL02";"MKTGL03_e",#N/A,FALSE,"MKTGL03";"MKTGL04_e",#N/A,FALSE,"MKTGL04";"PRJDV_sum_e",#N/A,FALSE,"PRJDV Sum";"PRDJV01_e",#N/A,FALSE,"PRJDV01";"PRJDV02_e",#N/A,FALSE,"PRJDV02";"MKTSL_e",#N/A,FALSE,"MKTSL";"Publicity_e",#N/A,FALSE,"PUBLICITY";"Training_e",#N/A,FALSE,"Training"}</definedName>
    <definedName name="wrn.Headoffice._.NLG." hidden="1">{"HO_sum_nlg",#N/A,FALSE,"Headoffice Summary";"Admin_sum_nlg",#N/A,FALSE,"ADMIN Sum";"ADMIN01_nlg",#N/A,FALSE,"ADMIN01";"ADMIN01_nlg",#N/A,FALSE,"ADMIN02";"AUXRE_nlg",#N/A,FALSE,"AUXRE";"CORAL_nlg",#N/A,FALSE,"CORAL";"GENGM_nlg",#N/A,FALSE,"GENGM";"HUMRE_sum_nlg",#N/A,FALSE,"HUMRE Sum";"HUMRE01_nlg",#N/A,FALSE,"HUMRE01";"HUMRE02_nlg",#N/A,FALSE,"HUMRE02";"HUMRE03_nlg",#N/A,FALSE,"HUMRE03";"HUMRE04_nlg",#N/A,FALSE,"HUMRE04";"LGLGM_nlg",#N/A,FALSE,"LGLGM";"MKTGL_sum_nlg",#N/A,FALSE,"MKTGL Sum";"MKTGL01_nlg",#N/A,FALSE,"MKTGL01";"MKTGL02_nlg",#N/A,FALSE,"MKTGL02";"MKTGL03_nlg",#N/A,FALSE,"MKTGL03";"MKTGL04_nlg",#N/A,FALSE,"MKTGL04";"PRJDV_sum_nlg",#N/A,FALSE,"PRJDV Sum";"PRJDV01_nlg",#N/A,FALSE,"PRJDV01";"PRJDV02_nlg",#N/A,FALSE,"PRJDV02";"MKTSL_nlg",#N/A,FALSE,"MKTSL";"Publicity_nlg",#N/A,FALSE,"PUBLICITY";"Training_nlg",#N/A,FALSE,"Training"}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nput._.Pages." hidden="1">{#N/A,#N/A,TRUE,"General Assumptions (Input)";#N/A,#N/A,TRUE,"Income (Input Page)";#N/A,#N/A,TRUE,"Related Mgmt Exps (Input Page)";#N/A,#N/A,TRUE,"Development Cost (Input)"}</definedName>
    <definedName name="wrn.Input._.Pages._.and._.Pro._.Forma." hidden="1">{#N/A,#N/A,TRUE,"General Assumptions (Input)";#N/A,#N/A,TRUE,"Related Mgmt Exps (Input Page)";#N/A,#N/A,TRUE,"Development Cost (Input)";#N/A,#N/A,TRUE,"Summary";#N/A,#N/A,TRUE,"Income (Input Page)";#N/A,#N/A,TRUE,"Expenses";#N/A,#N/A,TRUE,"Dev. Cost &amp; Elig. Basis(Input)";#N/A,#N/A,TRUE,"Tax Credit";#N/A,#N/A,TRUE,"Sources and Uses";#N/A,#N/A,TRUE,"Rent Up Reserve";#N/A,#N/A,TRUE,"Cash Flow";#N/A,#N/A,TRUE,"Construction Cash Flow"}</definedName>
    <definedName name="wrn.input._.sheet." hidden="1">{#N/A,#N/A,FALSE,"TICKERS INPUT SHEET"}</definedName>
    <definedName name="wrn.Kea." hidden="1">{"Keapg1",#N/A,FALSE,"Keane";"Keapg2",#N/A,FALSE,"Keane";"Keapg4",#N/A,FALSE,"Keane"}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PI._.Charts." hidden="1">{"Chart",#N/A,FALSE,"MATL";"Chart",#N/A,FALSE,"LAB";"Chart",#N/A,FALSE,"EXP";"Chart",#N/A,FALSE,"QUAL";"Chart",#N/A,FALSE,"DEL";"Chart",#N/A,FALSE,"STK";"Chart",#N/A,FALSE,"hr";"Chart",#N/A,FALSE,"lead"}</definedName>
    <definedName name="wrn.manpower." hidden="1">{"manpower",#N/A,FALSE,"MANPOWER_PAYROLL"}</definedName>
    <definedName name="wrn.Master." hidden="1">{#N/A,#N/A,TRUE,"ProFormaProfit";#N/A,#N/A,TRUE,"ProFormaCash";#N/A,#N/A,TRUE,"Depreciation";#N/A,#N/A,TRUE,"Assets";#N/A,#N/A,TRUE,"Revenue";#N/A,#N/A,TRUE,"EstimatedPurchase"}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id._.Qtr._.Fcst.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odel." hidden="1">{"years",#N/A,FALSE,"UDR_INC";"9899qtrs",#N/A,FALSE,"UDR_INC";"9798qtrs",#N/A,FALSE,"UDR_INC"}</definedName>
    <definedName name="wrn.Multiples._.Calculation." hidden="1">{#N/A,#N/A,FALSE,"GCM Data Sum";#N/A,#N/A,FALSE,"TIC-Calculation";#N/A,#N/A,FALSE,"TIC  Multiples";#N/A,#N/A,FALSE,"P-E &amp; Price to Book Multiples";#N/A,#N/A,FALSE,"Margins-EBITDA-to-Growth"}</definedName>
    <definedName name="wrn.Nico." hidden="1">{#N/A,#N/A,TRUE,"Cover";#N/A,#N/A,TRUE,"Transaction Summary";#N/A,#N/A,TRUE,"Earnings Impact";#N/A,#N/A,TRUE,"accretion dilution"}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UTPUT." hidden="1">{"DCF","UPSIDE CASE",FALSE,"Sheet1";"DCF","BASE CASE",FALSE,"Sheet1";"DCF","DOWNSIDE CASE",FALSE,"Sheet1"}</definedName>
    <definedName name="wrn.POLIZA." hidden="1">{#N/A,#N/A,FALSE,"PD 006";#N/A,#N/A,FALSE,"TOTAL";#N/A,#N/A,FALSE,"VENTAS";#N/A,#N/A,FALSE,"VENTAS CUBA LIBRE"}</definedName>
    <definedName name="wrn.POLIZAS." hidden="1">{#N/A,#N/A,FALSE,"POL";#N/A,#N/A,FALSE,"POL (2)";#N/A,#N/A,FALSE,"POL (3)";#N/A,#N/A,FALSE,"POL (4)"}</definedName>
    <definedName name="wrn.porte" hidden="1">{#N/A,#N/A,FALSE,"HOJA 1";#N/A,#N/A,FALSE,"HOJA 2";#N/A,#N/A,FALSE,"HOJA 3";#N/A,#N/A,FALSE,"DATOS";#N/A,#N/A,FALSE,"IVA"}</definedName>
    <definedName name="wrn.Print.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sheets." hidden="1">{"summary",#N/A,FALSE,"Valuation Analysis";"assumptions1",#N/A,FALSE,"Valuation Analysis";"assumptions2",#N/A,FALSE,"Valuation Analysis"}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all." hidden="1">{"page1",#N/A,FALSE,"DCM";"page2",#N/A,FALSE,"DCM";"page3",#N/A,FALSE,"DCM";"page4",#N/A,FALSE,"DCM";"page5",#N/A,FALSE,"DCM";"page6",#N/A,FALSE,"DCM";"page7",#N/A,FALSE,"DCM";"page8",#N/A,FALSE,"DCM"}</definedName>
    <definedName name="wrn.Printing._.the._.transactions._.sheets." hidden="1">{#N/A,#N/A,FALSE,"Eastern";#N/A,#N/A,FALSE,"Western"}</definedName>
    <definedName name="wrn.product._.cost." hidden="1">{"product cost",#N/A,FALSE,"P&amp;L STATEMENT"}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Report." hidden="1">{"NA",#N/A,TRUE,"Details BL1,2,4";"EA",#N/A,TRUE,"Details BL1,2,4"}</definedName>
    <definedName name="wrn.profit._.statement." hidden="1">{"profit statement",#N/A,FALSE,"P&amp;L STATEMENT"}</definedName>
    <definedName name="wrn.ProForma." hidden="1">{#N/A,#N/A,TRUE,"Summary";#N/A,#N/A,TRUE,"Income (Input Page)";#N/A,#N/A,TRUE,"Expenses";#N/A,#N/A,TRUE,"Dev. Cost &amp; Elig. Basis(Input)";#N/A,#N/A,TRUE,"Tax Credit";#N/A,#N/A,TRUE,"Sources and Uses";#N/A,#N/A,TRUE,"Rent Up Reserve";#N/A,#N/A,TRUE,"Cash Flow";#N/A,#N/A,TRUE,"Construction Cash Flow"}</definedName>
    <definedName name="wrn.Projected._.Data._.and._.Subject._.Company._.Data." hidden="1">{#N/A,#N/A,FALSE,"Projected Data &amp; SUBJECT-INPUTS"}</definedName>
    <definedName name="wrn.Pulp." hidden="1">{"Pulp Production",#N/A,FALSE,"Pulp";"Pulp Earnings",#N/A,FALSE,"Pulp"}</definedName>
    <definedName name="wrn.QOS._.Sheets._.all." hidden="1">{"Full Sheet",#N/A,FALSE,"MATL";"Full Sheet",#N/A,FALSE,"LAB";"Full Sheet",#N/A,FALSE,"EXP";"Full Sheet",#N/A,FALSE,"QUAL";"Full Sheet",#N/A,FALSE,"DEL";"Full Sheet",#N/A,FALSE,"STK";"Full Sheet",#N/A,FALSE,"hr";"Full Sheet",#N/A,FALSE,"lead";"Full Sheet",#N/A,FALSE,"hkp"}</definedName>
    <definedName name="wrn.QOS._.Sheets._.Top._.6." hidden="1">{"Full Sheet",#N/A,FALSE,"MATL";"Full Sheet",#N/A,FALSE,"LAB";"Full Sheet",#N/A,FALSE,"EXP";"Full Sheet",#N/A,FALSE,"QUAL";"Full Sheet",#N/A,FALSE,"DEL";"Full Sheet",#N/A,FALSE,"STK"}</definedName>
    <definedName name="wrn.REMO.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port.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_.1." hidden="1">{"All Years",#N/A,FALSE,"All Years";"1998",#N/A,FALSE,"1998 Roney";"1999",#N/A,FALSE,"1999 Roney";"Q3 99",#N/A,FALSE,"YTDQ3-1999 Roney";"Q4 99",#N/A,FALSE,"Q4 1999 Forecast";"2000",#N/A,FALSE,"2000 Roney"}</definedName>
    <definedName name="wrn.Report1." hidden="1">{#N/A,#N/A,FALSE,"Operations";#N/A,#N/A,FALSE,"Financials"}</definedName>
    <definedName name="wrn.REPORTE." hidden="1">{#N/A,#N/A,FALSE,"HOJA 1";#N/A,#N/A,FALSE,"HOJA 2";#N/A,#N/A,FALSE,"HOJA 3";#N/A,#N/A,FALSE,"DATOS";#N/A,#N/A,FALSE,"IVA"}</definedName>
    <definedName name="wrn.REVALUACION." hidden="1">{#N/A,#N/A,FALSE,"9";#N/A,#N/A,FALSE,"9 A";#N/A,#N/A,FALSE,"9B";#N/A,#N/A,FALSE,"9C";#N/A,#N/A,FALSE,"9D"}</definedName>
    <definedName name="wrn.review." hidden="1">{"review",#N/A,FALSE,"FACTSHT"}</definedName>
    <definedName name="wrn.review1." hidden="1">{"review",#N/A,FALSE,"FACTSHT"}</definedName>
    <definedName name="wrn.sales" hidden="1">{"manpower",#N/A,FALSE,"MANPOWER_PAYROLL"}</definedName>
    <definedName name="wrn.sales." hidden="1">{"sales",#N/A,FALSE,"Sales";"sales existing",#N/A,FALSE,"Sales";"sales rd1",#N/A,FALSE,"Sales";"sales rd2",#N/A,FALSE,"Sales"}</definedName>
    <definedName name="wrn.Sales._.Funnel._.Analysis._.2." hidden="1">{#N/A,#N/A,TRUE,"Funnel";#N/A,#N/A,TRUE,"FunnelMatrix"}</definedName>
    <definedName name="wrn.sample." hidden="1">{"sample",#N/A,FALSE,"Client Input Sheet"}</definedName>
    <definedName name="wrn.Sape." hidden="1">{"Sapepg1",#N/A,FALSE,"SAPE";"Sapepg2",#N/A,FALSE,"SAPE";"Sapepg3",#N/A,FALSE,"SAPE";"Sapepg4",#N/A,FALSE,"SAPE"}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ga._.expense." hidden="1">{"sga expense",#N/A,FALSE,"S,G&amp;A EXP"}</definedName>
    <definedName name="wrn.SHORT." hidden="1">{"CREDIT STATISTICS",#N/A,FALSE,"STATS";"CF_AND_IS",#N/A,FALSE,"PLAN";"BALSHEET",#N/A,FALSE,"BALANCE SHEET"}</definedName>
    <definedName name="wrn.stand_alone." hidden="1">{#N/A,#N/A,FALSE,"CBE";#N/A,#N/A,FALSE,"SWK"}</definedName>
    <definedName name="wrn.STATEMENTS." hidden="1">{#N/A,#N/A,FALSE,"BALANCE SHEET";#N/A,#N/A,FALSE,"INCOME STATEMENT";#N/A,#N/A,FALSE,"TRIAL BALANCE"}</definedName>
    <definedName name="wrn.SUMM_ADDITIONAL." hidden="1">{"SUMM_ADDITIONAL",#N/A,FALSE,"PHN_SUMMARY"}</definedName>
    <definedName name="wrn.summ4." hidden="1">{#N/A,#N/A,FALSE,"summ";#N/A,#N/A,FALSE,"q1";#N/A,#N/A,FALSE,"summ_alt";#N/A,#N/A,FALSE,"stock_nozero";#N/A,#N/A,FALSE,"1995"}</definedName>
    <definedName name="wrn.Summary." hidden="1">{#N/A,#N/A,FALSE,"Summary3";#N/A,#N/A,FALSE,"Summary1";#N/A,#N/A,FALSE,"Summary2";#N/A,#N/A,FALSE,"Sensitivities1";#N/A,#N/A,FALSE,"Sensitivities2"}</definedName>
    <definedName name="wrn.Summary._.Financials." hidden="1">{"Balance Sheet",#N/A,FALSE,"Annual Summary";"Cashflows",#N/A,FALSE,"Annual Summary";"Summary Earnings",#N/A,FALSE,"Annual Summary"}</definedName>
    <definedName name="wrn.TARGET._.DCF." hidden="1">{"targetdcf",#N/A,FALSE,"Merger consequences";"TARGETASSU",#N/A,FALSE,"Merger consequences";"TERMINAL VALUE",#N/A,FALSE,"Merger consequences"}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ROLD._.MANPOWER._.ONLY." hidden="1">{"MANPOWER ONLY",#N/A,FALSE,"THOR_Mnpwr"}</definedName>
    <definedName name="wrn.THOROLD._.NO._.ASSY._.COMPLETE." hidden="1">{"THOROLD NO ASSY COMPLETE",#N/A,FALSE,"THOR_Mnpwr"}</definedName>
    <definedName name="wrn.THOROLD._.WITH._.ASSY." hidden="1">{"THOROLD WITH ASSY",#N/A,FALSE,"THOR_Mnpwr"}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talcomp." hidden="1">{"comp1",#N/A,FALSE,"COMPS";"footnotes",#N/A,FALSE,"COMPS"}</definedName>
    <definedName name="wrn.trans._.sum." hidden="1">{"trans assumptions",#N/A,FALSE,"Merger";"trans accretion",#N/A,FALSE,"Merger"}</definedName>
    <definedName name="wrn.up." hidden="1">{"up stand alones",#N/A,FALSE,"Acquiror"}</definedName>
    <definedName name="wrn.Usinor.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Wacc." hidden="1">{"Area1",#N/A,FALSE,"OREWACC";"Area2",#N/A,FALSE,"OREWACC"}</definedName>
    <definedName name="wrn.works._.expense." hidden="1">{"works expense",#N/A,FALSE,"WORKS EXPENSE"}</definedName>
    <definedName name="wrn.Worksheet." hidden="1">{"Material",#N/A,FALSE,"Material";"Labour",#N/A,FALSE,"Labour";"Summary",#N/A,FALSE,"Summary"}</definedName>
    <definedName name="wrn1.fullreport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1.printall" hidden="1">{"page1",#N/A,FALSE,"DCM";"page2",#N/A,FALSE,"DCM";"page3",#N/A,FALSE,"DCM";"page4",#N/A,FALSE,"DCM";"page5",#N/A,FALSE,"DCM";"page6",#N/A,FALSE,"DCM";"page7",#N/A,FALSE,"DCM";"page8",#N/A,FALSE,"DCM"}</definedName>
    <definedName name="wrn2.capital" hidden="1">{"capital",#N/A,FALSE,"CAPITAL_DEP'N"}</definedName>
    <definedName name="WRN2.Document" hidden="1">{"consolidated",#N/A,FALSE,"Sheet1";"cms",#N/A,FALSE,"Sheet1";"fse",#N/A,FALSE,"Sheet1"}</definedName>
    <definedName name="wrn2.manpower" hidden="1">{"manpower",#N/A,FALSE,"MANPOWER_PAYROLL"}</definedName>
    <definedName name="wrn2.product._.cost." hidden="1">{"product cost",#N/A,FALSE,"P&amp;L STATEMENT"}</definedName>
    <definedName name="wrn2.profit._.statement." hidden="1">{"profit statement",#N/A,FALSE,"P&amp;L STATEMENT"}</definedName>
    <definedName name="wrn2.sga._.expense." hidden="1">{"sga expense",#N/A,FALSE,"S,G&amp;A EXP"}</definedName>
    <definedName name="wrn2.works._.expense." hidden="1">{"works expense",#N/A,FALSE,"WORKS EXPENSE"}</definedName>
    <definedName name="wrnB_qtr" hidden="1">{"C COM Detail Qtr of",#N/A,FALSE,"DATA";"D Exp Detail Qtr of",#N/A,FALSE,"DATA"}</definedName>
    <definedName name="wrnC" hidden="1">{"A COM Detail YTD",#N/A,FALSE,"DATA";"B Exp Detail YTD",#N/A,FALSE,"DATA"}</definedName>
    <definedName name="wrnD" hidden="1">{"A Performance Report",#N/A,FALSE,"%Performance"}</definedName>
    <definedName name="wrnMid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s" hidden="1">{"years",#N/A,FALSE,"UDR_INC";"9899qtrs",#N/A,FALSE,"UDR_INC";"9798qtrs",#N/A,FALSE,"UDR_INC"}</definedName>
    <definedName name="wvu.Détails." hidden="1">{TRUE,TRUE,-1.25,-15.5,604.5,366.75,FALSE,TRUE,TRUE,TRUE,0,1,#N/A,1,#N/A,6.54838709677419,31.3076923076923,1,FALSE,FALSE,3,TRUE,1,FALSE,75,"Swvu.Détails.","ACwvu.Détails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",TRUE,TRUE,FALSE,TRUE,1,#N/A,1,1,"=R1C1:R60C24","=R1:R5",#N/A,#N/A,FALSE,FALSE,FALSE,5,65532,65532,FALSE,FALSE,TRUE,TRUE,TRUE}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ommaire." hidden="1">{TRUE,TRUE,-1.25,-15.5,604.5,366.75,FALSE,TRUE,TRUE,TRUE,0,1,2,1,6,1,5,4,TRUE,TRUE,3,TRUE,1,TRUE,75,"Swvu.Sommaire.","ACwvu.Sommaire.",#N/A,FALSE,FALSE,0.15748031496063,0.15748031496063,0.748031496062992,0.511811023622047,2,"&amp;C&amp;""Arial,Gras""&amp;20DISNEY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",TRUE,TRUE,FALSE,TRUE,1,#N/A,1,1,"=R1C1:R60C24","=R1:R5","Rwvu.Sommaire.",#N/A,FALSE,FALSE,FALSE,5,65532,65532,FALSE,FALSE,TRUE,TRUE,TRUE}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" hidden="1">{"A COM Detail YTD",#N/A,FALSE,"DATA";"B Exp Detail YTD",#N/A,FALSE,"DATA";"C COM Detail Qtr of",#N/A,FALSE,"DATA";"D Exp Detail Qtr of",#N/A,FALSE,"DATA";"A Performance Report",#N/A,FALSE,"%Performance"}</definedName>
    <definedName name="xb" hidden="1">#REF!</definedName>
    <definedName name="xbxvc" hidden="1">{"capital",#N/A,FALSE,"CAPITAL_DEP'N"}</definedName>
    <definedName name="xgf" hidden="1">{"product cost",#N/A,FALSE,"P&amp;L STATEMENT"}</definedName>
    <definedName name="xm" hidden="1">#REF!</definedName>
    <definedName name="xn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1" hidden="1">#REF!</definedName>
    <definedName name="XRefCopy12" hidden="1">#REF!</definedName>
    <definedName name="XRefCopy13" hidden="1">#REF!</definedName>
    <definedName name="XRefCopy14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4" hidden="1">#REF!</definedName>
    <definedName name="XRefCopy24Row" hidden="1">#REF!</definedName>
    <definedName name="XRefCopy25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9" hidden="1">#REF!</definedName>
    <definedName name="XRefCopy29Row" hidden="1">#REF!</definedName>
    <definedName name="XRefCopy3" hidden="1">#REF!</definedName>
    <definedName name="XRefCopy30" hidden="1">#REF!</definedName>
    <definedName name="XRefCopy31" hidden="1">#REF!</definedName>
    <definedName name="XRefCopy31Row" hidden="1">#REF!</definedName>
    <definedName name="XRefCopy32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7" hidden="1">#REF!</definedName>
    <definedName name="XRefCopy37Row" hidden="1">#REF!</definedName>
    <definedName name="XRefCopy38" hidden="1">#REF!</definedName>
    <definedName name="XRefCopy39" hidden="1">#REF!</definedName>
    <definedName name="XRefCopy39Row" hidden="1">#REF!</definedName>
    <definedName name="XRefCopy4" hidden="1">#REF!</definedName>
    <definedName name="XRefCopy40" hidden="1">#REF!</definedName>
    <definedName name="XRefCopy41" hidden="1">#REF!</definedName>
    <definedName name="XRefCopy41Row" hidden="1">#REF!</definedName>
    <definedName name="XRefCopy42" hidden="1">#REF!</definedName>
    <definedName name="XRefCopy5" hidden="1">#REF!</definedName>
    <definedName name="XRefCopy6" hidden="1">#REF!</definedName>
    <definedName name="XRefCopy7" hidden="1">#REF!</definedName>
    <definedName name="XRefCopy8" hidden="1">#REF!</definedName>
    <definedName name="XRefCopy9" hidden="1">#REF!</definedName>
    <definedName name="XRefCopyRangeCount" hidden="1">8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2" hidden="1">#REF!</definedName>
    <definedName name="XRefPaste3" hidden="1">#REF!</definedName>
    <definedName name="XRefPaste4" hidden="1">#REF!</definedName>
    <definedName name="XRefPaste5" hidden="1">#REF!</definedName>
    <definedName name="XRefPaste6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5</definedName>
    <definedName name="xs" hidden="1">{"years",#N/A,FALSE,"UDR_INC";"9899qtrs",#N/A,FALSE,"UDR_INC";"9798qtrs",#N/A,FALSE,"UDR_INC"}</definedName>
    <definedName name="xvbxdbr" hidden="1">{"product cost",#N/A,FALSE,"P&amp;L STATEMENT"}</definedName>
    <definedName name="xxx" hidden="1">{#N/A,#N/A,FALSE,"Cover";#N/A,#N/A,FALSE,"Profits";#N/A,#N/A,FALSE,"ABS";#N/A,#N/A,FALSE,"TFLE Detail";#N/A,#N/A,FALSE,"TFLE Walk";#N/A,#N/A,FALSE,"Variable Cost";#N/A,#N/A,FALSE,"V.C. Walk"}</definedName>
    <definedName name="xxxx1" hidden="1">{#N/A,#N/A,TRUE,"Funnel";#N/A,#N/A,TRUE,"FunnelMatrix"}</definedName>
    <definedName name="xxxx2" hidden="1">{#N/A,#N/A,TRUE,"Funnel";#N/A,#N/A,TRUE,"FunnelMatrix"}</definedName>
    <definedName name="XXXXXX" hidden="1">{"profit statement",#N/A,FALSE,"P&amp;L STATEMENT"}</definedName>
    <definedName name="xxxxxxxxxx" hidden="1">#REF!</definedName>
    <definedName name="xyz" hidden="1">{"A COM Detail YTD",#N/A,FALSE,"DATA";"B Exp Detail YTD",#N/A,FALSE,"DATA";"C COM Detail Qtr of",#N/A,FALSE,"DATA";"D Exp Detail Qtr of",#N/A,FALSE,"DATA";"A Performance Report",#N/A,FALSE,"%Performance"}</definedName>
    <definedName name="y" hidden="1">{#N/A,#N/A,TRUE,"MEMO";#N/A,#N/A,TRUE,"COMMITMENT";#N/A,#N/A,TRUE,"PRODCAL";#N/A,#N/A,TRUE,"BUDGET";#N/A,#N/A,TRUE,"PRODMOD";#N/A,#N/A,TRUE,"JPD";#N/A,#N/A,TRUE,"DAILY  RATE";#N/A,#N/A,TRUE,"Comprod";#N/A,#N/A,TRUE,"Monthly Rate ´98";#N/A,#N/A,TRUE,"Monthly Prod ´98";#N/A,#N/A,TRUE,"PROG. BY MOD. YEAR";#N/A,#N/A,TRUE,"VENEZUELA";#N/A,#N/A,TRUE,"COLOMBIA";#N/A,#N/A,TRUE,"ECUADOR";#N/A,#N/A,TRUE,"Calendar Year  1998"}</definedName>
    <definedName name="yes" hidden="1">{"product cost",#N/A,FALSE,"P&amp;L STATEMENT"}</definedName>
    <definedName name="yesterday" hidden="1">#REF!</definedName>
    <definedName name="YY" hidden="1">{#N/A,#N/A,TRUE,"HOJA 1 (P)";#N/A,#N/A,TRUE,"HOJA 2 (P)";#N/A,#N/A,TRUE,"HOJA 3 (P)";#N/A,#N/A,TRUE,"HOJA 4 (P)"}</definedName>
    <definedName name="yyyyyyyyyy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z" hidden="1">{"Pgm Mngt S/P",#N/A,FALSE,"Prg Mgt";"Govt Rltns S/P",#N/A,FALSE,"Govt Rltns";"HR S/P",#N/A,FALSE,"HR";"B&amp;A S/P",#N/A,FALSE,"B&amp;A";"Prjt Cntrl S/P",#N/A,FALSE,"Prjct Cntrls";"Contracts S/P",#N/A,FALSE,"Cntrct";"QA S/P",#N/A,FALSE,"QA";"IT S/P",#N/A,FALSE,"IT";"DC S/P",#N/A,FALSE,"DC";"PMM S/P",#N/A,FALSE,"PMM";"HSE S/P",#N/A,FALSE,"HSE";"ENG'G S/P",#N/A,FALSE,"Eng'g";"Comm'g S/P",#N/A,FALSE,"Comm'g";"Const SP",#N/A,FALSE,"Cnstrctn";"Construction SP1",#N/A,FALSE,"Cnstrctn"}</definedName>
    <definedName name="Z_0DF4CCD5_BD29_11D2_B943_0050040AC21C_.wvu.FilterData" hidden="1">#REF!</definedName>
    <definedName name="Z_124E5910_83F9_11D4_AE5F_0050DA7CB416_.wvu.PrintArea" hidden="1">#REF!</definedName>
    <definedName name="Z_124E5911_83F9_11D4_AE5F_0050DA7CB416_.wvu.Cols" hidden="1">#REF!</definedName>
    <definedName name="Z_124E5911_83F9_11D4_AE5F_0050DA7CB416_.wvu.PrintArea" hidden="1">#REF!</definedName>
    <definedName name="Z_1906290E_BC61_11D2_B941_0050040AC21C_.wvu.FilterData" hidden="1">#REF!</definedName>
    <definedName name="Z_19062910_BC61_11D2_B941_0050040AC21C_.wvu.FilterData" hidden="1">#REF!</definedName>
    <definedName name="Z_2DF11753_B84B_11D2_B93A_0050040AC227_.wvu.PrintArea" hidden="1">#REF!</definedName>
    <definedName name="Z_4C1CBF02_B7B5_11D2_B93A_0050040AC21C_.wvu.FilterData" hidden="1">#REF!</definedName>
    <definedName name="Z_4C1CBF02_B7B5_11D2_B93A_0050040AC21C_.wvu.PrintArea" hidden="1">#REF!</definedName>
    <definedName name="Z_4C1CBF02_B7B5_11D2_B93A_0050040AC21C_.wvu.PrintTitles" hidden="1">#REF!</definedName>
    <definedName name="Z_4FA7459B_7D59_11D3_B819_444553540000_.wvu.Cols" hidden="1">#REF!,#REF!</definedName>
    <definedName name="Z_4FA7459B_7D59_11D3_B819_444553540000_.wvu.Rows" hidden="1">#REF!</definedName>
    <definedName name="Z_66231A85_C0F1_11D2_B93B_0050040AC227_.wvu.FilterData" hidden="1">#REF!</definedName>
    <definedName name="Z_66231A86_C0F1_11D2_B93B_0050040AC227_.wvu.FilterData" hidden="1">#REF!</definedName>
    <definedName name="Z_A99CC723_C1C7_11D2_B941_0050040AC228_.wvu.FilterData" hidden="1">#REF!</definedName>
    <definedName name="Z_A99CC729_C1C7_11D2_B941_0050040AC228_.wvu.FilterData" hidden="1">#REF!</definedName>
    <definedName name="Z_A99CC733_C1C7_11D2_B941_0050040AC228_.wvu.FilterData" hidden="1">#REF!</definedName>
    <definedName name="Z_A99CC736_C1C7_11D2_B941_0050040AC228_.wvu.FilterData" hidden="1">#REF!</definedName>
    <definedName name="Z_C9FB2A72_5C56_11D3_AD66_0050040A13CD_.wvu.PrintArea" hidden="1">#REF!</definedName>
    <definedName name="Z_C9FB2A72_5C56_11D3_AD66_0050040A13CD_.wvu.PrintTitles" hidden="1">#REF!</definedName>
    <definedName name="Z_C9FB2A73_5C56_11D3_AD66_0050040A13CD_.wvu.PrintArea" hidden="1">#REF!</definedName>
    <definedName name="Z_C9FB2A73_5C56_11D3_AD66_0050040A13CD_.wvu.PrintTitles" hidden="1">#REF!</definedName>
    <definedName name="Z_C9FB2A75_5C56_11D3_AD66_0050040A13CD_.wvu.PrintArea" hidden="1">#REF!</definedName>
    <definedName name="Z_C9FB2A75_5C56_11D3_AD66_0050040A13CD_.wvu.PrintTitles" hidden="1">#REF!</definedName>
    <definedName name="Z_C9FB2A76_5C56_11D3_AD66_0050040A13CD_.wvu.PrintArea" hidden="1">#REF!</definedName>
    <definedName name="Z_C9FB2A76_5C56_11D3_AD66_0050040A13CD_.wvu.PrintTitles" hidden="1">#REF!</definedName>
    <definedName name="Z_C9FB2A77_5C56_11D3_AD66_0050040A13CD_.wvu.PrintArea" hidden="1">#REF!</definedName>
    <definedName name="Z_C9FB2A77_5C56_11D3_AD66_0050040A13CD_.wvu.PrintTitles" hidden="1">#REF!</definedName>
    <definedName name="Z_C9FB2A79_5C56_11D3_AD66_0050040A13CD_.wvu.PrintArea" hidden="1">#REF!</definedName>
    <definedName name="Z_C9FB2A79_5C56_11D3_AD66_0050040A13CD_.wvu.PrintTitles" hidden="1">#REF!</definedName>
    <definedName name="Z_D782F750_C0FB_11D2_B941_0050040AC228_.wvu.FilterData" hidden="1">#REF!</definedName>
    <definedName name="Z_DC379DF6_BBB3_11D2_B93F_0050040AC228_.wvu.FilterData" hidden="1">#REF!</definedName>
    <definedName name="Z_ED7DF65E_BB85_11D2_B93F_0050040AC228_.wvu.FilterData" hidden="1">#REF!</definedName>
    <definedName name="Z_F0315699_C47B_4489_98A6_E8E19E85A6CB_.wvu.FilterData" hidden="1">#REF!</definedName>
    <definedName name="Z_F0315699_C47B_4489_98A6_E8E19E85A6CB_.wvu.PrintArea" hidden="1">#REF!</definedName>
    <definedName name="Z_F14718EE_5AC2_11D3_AD63_0050040A13CD_.wvu.PrintArea" hidden="1">#REF!</definedName>
    <definedName name="Z_F14718EF_5AC2_11D3_AD63_0050040A13CD_.wvu.PrintArea" hidden="1">#REF!</definedName>
    <definedName name="Z_F14718F1_5AC2_11D3_AD63_0050040A13CD_.wvu.PrintArea" hidden="1">#REF!</definedName>
    <definedName name="Z_F14718F2_5AC2_11D3_AD63_0050040A13CD_.wvu.PrintArea" hidden="1">#REF!</definedName>
    <definedName name="Z_F14718F3_5AC2_11D3_AD63_0050040A13CD_.wvu.PrintArea" hidden="1">#REF!</definedName>
    <definedName name="Z_F14718F5_5AC2_11D3_AD63_0050040A13CD_.wvu.PrintArea" hidden="1">#REF!</definedName>
    <definedName name="Z_F1471909_5AC2_11D3_AD63_0050040A13CD_.wvu.PrintArea" hidden="1">#REF!</definedName>
    <definedName name="Z_F1471909_5AC2_11D3_AD63_0050040A13CD_.wvu.PrintTitles" hidden="1">#REF!</definedName>
    <definedName name="Z_F147190A_5AC2_11D3_AD63_0050040A13CD_.wvu.PrintArea" hidden="1">#REF!</definedName>
    <definedName name="Z_F147190A_5AC2_11D3_AD63_0050040A13CD_.wvu.PrintTitles" hidden="1">#REF!</definedName>
    <definedName name="Z_F147190C_5AC2_11D3_AD63_0050040A13CD_.wvu.PrintArea" hidden="1">#REF!</definedName>
    <definedName name="Z_F147190C_5AC2_11D3_AD63_0050040A13CD_.wvu.PrintTitles" hidden="1">#REF!</definedName>
    <definedName name="Z_F147190D_5AC2_11D3_AD63_0050040A13CD_.wvu.PrintArea" hidden="1">#REF!</definedName>
    <definedName name="Z_F147190D_5AC2_11D3_AD63_0050040A13CD_.wvu.PrintTitles" hidden="1">#REF!</definedName>
    <definedName name="Z_F147190E_5AC2_11D3_AD63_0050040A13CD_.wvu.PrintArea" hidden="1">#REF!</definedName>
    <definedName name="Z_F147190E_5AC2_11D3_AD63_0050040A13CD_.wvu.PrintTitles" hidden="1">#REF!</definedName>
    <definedName name="Z_F1471910_5AC2_11D3_AD63_0050040A13CD_.wvu.PrintArea" hidden="1">#REF!</definedName>
    <definedName name="Z_F1471910_5AC2_11D3_AD63_0050040A13CD_.wvu.PrintTitles" hidden="1">#REF!</definedName>
    <definedName name="Z_F1471912_5AC2_11D3_AD63_0050040A13CD_.wvu.PrintArea" hidden="1">#REF!</definedName>
    <definedName name="Z_F1471912_5AC2_11D3_AD63_0050040A13CD_.wvu.PrintTitles" hidden="1">#REF!</definedName>
    <definedName name="Z_F1471913_5AC2_11D3_AD63_0050040A13CD_.wvu.PrintArea" hidden="1">#REF!</definedName>
    <definedName name="Z_F1471913_5AC2_11D3_AD63_0050040A13CD_.wvu.PrintTitles" hidden="1">#REF!</definedName>
    <definedName name="Z_F1471915_5AC2_11D3_AD63_0050040A13CD_.wvu.PrintArea" hidden="1">#REF!</definedName>
    <definedName name="Z_F1471915_5AC2_11D3_AD63_0050040A13CD_.wvu.PrintTitles" hidden="1">#REF!</definedName>
    <definedName name="Z_F1471916_5AC2_11D3_AD63_0050040A13CD_.wvu.PrintArea" hidden="1">#REF!</definedName>
    <definedName name="Z_F1471916_5AC2_11D3_AD63_0050040A13CD_.wvu.PrintTitles" hidden="1">#REF!</definedName>
    <definedName name="Z_F1471917_5AC2_11D3_AD63_0050040A13CD_.wvu.PrintArea" hidden="1">#REF!</definedName>
    <definedName name="Z_F1471917_5AC2_11D3_AD63_0050040A13CD_.wvu.PrintTitles" hidden="1">#REF!</definedName>
    <definedName name="Z_F1471919_5AC2_11D3_AD63_0050040A13CD_.wvu.PrintArea" hidden="1">#REF!</definedName>
    <definedName name="Z_F1471919_5AC2_11D3_AD63_0050040A13CD_.wvu.PrintTitles" hidden="1">#REF!</definedName>
    <definedName name="za" hidden="1">#REF!</definedName>
    <definedName name="zc" hidden="1">#REF!</definedName>
    <definedName name="zd" hidden="1">#REF!</definedName>
    <definedName name="ze" hidden="1">#REF!</definedName>
    <definedName name="zg" hidden="1">#REF!</definedName>
    <definedName name="zh" hidden="1">#REF!</definedName>
    <definedName name="zi" hidden="1">#REF!</definedName>
    <definedName name="zj" hidden="1">#REF!</definedName>
    <definedName name="zk" hidden="1">#REF!</definedName>
    <definedName name="zl" hidden="1">#REF!</definedName>
    <definedName name="zm" hidden="1">#REF!</definedName>
    <definedName name="zn" hidden="1">#REF!</definedName>
    <definedName name="zo" hidden="1">#REF!</definedName>
    <definedName name="zq" hidden="1">#REF!</definedName>
    <definedName name="zr" hidden="1">#REF!</definedName>
    <definedName name="zs" hidden="1">#REF!</definedName>
    <definedName name="zt" hidden="1">#REF!</definedName>
    <definedName name="zu" hidden="1">#REF!</definedName>
    <definedName name="zv" hidden="1">#REF!</definedName>
    <definedName name="zvcsafg" hidden="1">{"product cost",#N/A,FALSE,"P&amp;L STATEMENT"}</definedName>
    <definedName name="zw" hidden="1">#REF!</definedName>
    <definedName name="zx" hidden="1">#REF!</definedName>
    <definedName name="zy" hidden="1">#REF!</definedName>
    <definedName name="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6" l="1"/>
  <c r="F76" i="6" l="1"/>
  <c r="N19" i="6"/>
  <c r="N18" i="6"/>
  <c r="N17" i="6"/>
  <c r="N16" i="6"/>
  <c r="N15" i="6"/>
  <c r="N14" i="6"/>
  <c r="N13" i="6"/>
  <c r="N12" i="6"/>
  <c r="N11" i="6"/>
  <c r="J18" i="6"/>
  <c r="J17" i="6"/>
  <c r="J16" i="6"/>
  <c r="J15" i="6"/>
  <c r="J14" i="6"/>
  <c r="J13" i="6"/>
  <c r="J12" i="6"/>
  <c r="J11" i="6"/>
  <c r="F19" i="6"/>
  <c r="F18" i="6"/>
  <c r="F17" i="6"/>
  <c r="F16" i="6"/>
  <c r="F15" i="6"/>
  <c r="F14" i="6"/>
  <c r="F13" i="6"/>
  <c r="F12" i="6"/>
  <c r="F11" i="6"/>
  <c r="F87" i="6"/>
  <c r="E22" i="6"/>
  <c r="E70" i="6" s="1"/>
  <c r="N161" i="6"/>
  <c r="J161" i="6"/>
  <c r="F161" i="6"/>
  <c r="N160" i="6"/>
  <c r="J160" i="6"/>
  <c r="F160" i="6"/>
  <c r="N159" i="6"/>
  <c r="J159" i="6"/>
  <c r="F159" i="6"/>
  <c r="N158" i="6"/>
  <c r="J158" i="6"/>
  <c r="F158" i="6"/>
  <c r="N157" i="6"/>
  <c r="J157" i="6"/>
  <c r="F157" i="6"/>
  <c r="N156" i="6"/>
  <c r="J156" i="6"/>
  <c r="F156" i="6"/>
  <c r="N155" i="6"/>
  <c r="J155" i="6"/>
  <c r="F155" i="6"/>
  <c r="N154" i="6"/>
  <c r="J154" i="6"/>
  <c r="F154" i="6"/>
  <c r="N153" i="6"/>
  <c r="J153" i="6"/>
  <c r="F153" i="6"/>
  <c r="N152" i="6"/>
  <c r="J152" i="6"/>
  <c r="F152" i="6"/>
  <c r="N151" i="6"/>
  <c r="J151" i="6"/>
  <c r="F151" i="6"/>
  <c r="D174" i="6"/>
  <c r="N135" i="6"/>
  <c r="J135" i="6"/>
  <c r="F135" i="6"/>
  <c r="N134" i="6"/>
  <c r="J134" i="6"/>
  <c r="F134" i="6"/>
  <c r="N133" i="6"/>
  <c r="J133" i="6"/>
  <c r="F133" i="6"/>
  <c r="N132" i="6"/>
  <c r="J132" i="6"/>
  <c r="F132" i="6"/>
  <c r="N131" i="6"/>
  <c r="J131" i="6"/>
  <c r="F131" i="6"/>
  <c r="N172" i="6"/>
  <c r="N171" i="6"/>
  <c r="N170" i="6"/>
  <c r="N169" i="6"/>
  <c r="N166" i="6"/>
  <c r="N165" i="6"/>
  <c r="N164" i="6"/>
  <c r="N148" i="6"/>
  <c r="N147" i="6"/>
  <c r="N146" i="6"/>
  <c r="N145" i="6"/>
  <c r="N144" i="6"/>
  <c r="N143" i="6"/>
  <c r="N142" i="6"/>
  <c r="N141" i="6"/>
  <c r="N140" i="6"/>
  <c r="N139" i="6"/>
  <c r="N138" i="6"/>
  <c r="N128" i="6"/>
  <c r="N127" i="6"/>
  <c r="N126" i="6"/>
  <c r="N125" i="6"/>
  <c r="N124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5" i="6"/>
  <c r="N103" i="6"/>
  <c r="N102" i="6"/>
  <c r="N101" i="6"/>
  <c r="N100" i="6"/>
  <c r="N98" i="6"/>
  <c r="N96" i="6"/>
  <c r="N95" i="6"/>
  <c r="N94" i="6"/>
  <c r="N93" i="6"/>
  <c r="N92" i="6"/>
  <c r="N91" i="6"/>
  <c r="N89" i="6"/>
  <c r="N88" i="6"/>
  <c r="N87" i="6"/>
  <c r="N84" i="6"/>
  <c r="N82" i="6"/>
  <c r="N81" i="6"/>
  <c r="N80" i="6"/>
  <c r="N79" i="6"/>
  <c r="N78" i="6"/>
  <c r="N77" i="6"/>
  <c r="N76" i="6"/>
  <c r="N68" i="6"/>
  <c r="N67" i="6"/>
  <c r="N66" i="6"/>
  <c r="N65" i="6"/>
  <c r="N64" i="6"/>
  <c r="N60" i="6"/>
  <c r="N59" i="6"/>
  <c r="N58" i="6"/>
  <c r="N54" i="6"/>
  <c r="N53" i="6"/>
  <c r="N52" i="6"/>
  <c r="N48" i="6"/>
  <c r="N47" i="6"/>
  <c r="N46" i="6"/>
  <c r="N45" i="6"/>
  <c r="N44" i="6"/>
  <c r="N43" i="6"/>
  <c r="N42" i="6"/>
  <c r="N41" i="6"/>
  <c r="N37" i="6"/>
  <c r="N36" i="6"/>
  <c r="N35" i="6"/>
  <c r="N34" i="6"/>
  <c r="N33" i="6"/>
  <c r="N32" i="6"/>
  <c r="N31" i="6"/>
  <c r="N30" i="6"/>
  <c r="N29" i="6"/>
  <c r="N28" i="6"/>
  <c r="J172" i="6"/>
  <c r="J171" i="6"/>
  <c r="J170" i="6"/>
  <c r="J169" i="6"/>
  <c r="J166" i="6"/>
  <c r="J165" i="6"/>
  <c r="J164" i="6"/>
  <c r="J148" i="6"/>
  <c r="J147" i="6"/>
  <c r="J146" i="6"/>
  <c r="J145" i="6"/>
  <c r="J144" i="6"/>
  <c r="J143" i="6"/>
  <c r="J142" i="6"/>
  <c r="J141" i="6"/>
  <c r="J140" i="6"/>
  <c r="J139" i="6"/>
  <c r="J138" i="6"/>
  <c r="J128" i="6"/>
  <c r="J127" i="6"/>
  <c r="J126" i="6"/>
  <c r="J125" i="6"/>
  <c r="J124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5" i="6"/>
  <c r="J103" i="6"/>
  <c r="J102" i="6"/>
  <c r="J101" i="6"/>
  <c r="J100" i="6"/>
  <c r="J98" i="6"/>
  <c r="J96" i="6"/>
  <c r="J95" i="6"/>
  <c r="J94" i="6"/>
  <c r="J93" i="6"/>
  <c r="J92" i="6"/>
  <c r="J91" i="6"/>
  <c r="J89" i="6"/>
  <c r="J88" i="6"/>
  <c r="J87" i="6"/>
  <c r="J84" i="6"/>
  <c r="J82" i="6"/>
  <c r="J81" i="6"/>
  <c r="J80" i="6"/>
  <c r="J79" i="6"/>
  <c r="J78" i="6"/>
  <c r="J77" i="6"/>
  <c r="J76" i="6"/>
  <c r="J68" i="6"/>
  <c r="J67" i="6"/>
  <c r="J66" i="6"/>
  <c r="J65" i="6"/>
  <c r="J64" i="6"/>
  <c r="J60" i="6"/>
  <c r="J59" i="6"/>
  <c r="J58" i="6"/>
  <c r="J54" i="6"/>
  <c r="J53" i="6"/>
  <c r="J52" i="6"/>
  <c r="J48" i="6"/>
  <c r="J47" i="6"/>
  <c r="J46" i="6"/>
  <c r="J45" i="6"/>
  <c r="J44" i="6"/>
  <c r="J43" i="6"/>
  <c r="J42" i="6"/>
  <c r="J41" i="6"/>
  <c r="J37" i="6"/>
  <c r="J36" i="6"/>
  <c r="J35" i="6"/>
  <c r="J34" i="6"/>
  <c r="J33" i="6"/>
  <c r="J32" i="6"/>
  <c r="J31" i="6"/>
  <c r="J30" i="6"/>
  <c r="J29" i="6"/>
  <c r="J28" i="6"/>
  <c r="F172" i="6"/>
  <c r="F171" i="6"/>
  <c r="F170" i="6"/>
  <c r="F169" i="6"/>
  <c r="F166" i="6"/>
  <c r="F165" i="6"/>
  <c r="F164" i="6"/>
  <c r="F148" i="6"/>
  <c r="F147" i="6"/>
  <c r="F146" i="6"/>
  <c r="F145" i="6"/>
  <c r="F144" i="6"/>
  <c r="F143" i="6"/>
  <c r="F142" i="6"/>
  <c r="F141" i="6"/>
  <c r="F140" i="6"/>
  <c r="F139" i="6"/>
  <c r="F138" i="6"/>
  <c r="F128" i="6"/>
  <c r="F127" i="6"/>
  <c r="F126" i="6"/>
  <c r="F125" i="6"/>
  <c r="F124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5" i="6"/>
  <c r="F103" i="6"/>
  <c r="F102" i="6"/>
  <c r="F101" i="6"/>
  <c r="F100" i="6"/>
  <c r="F98" i="6"/>
  <c r="F96" i="6"/>
  <c r="F95" i="6"/>
  <c r="F94" i="6"/>
  <c r="F93" i="6"/>
  <c r="F92" i="6"/>
  <c r="F91" i="6"/>
  <c r="F89" i="6"/>
  <c r="F88" i="6"/>
  <c r="F84" i="6"/>
  <c r="F82" i="6"/>
  <c r="F81" i="6"/>
  <c r="F80" i="6"/>
  <c r="F79" i="6"/>
  <c r="F78" i="6"/>
  <c r="F77" i="6"/>
  <c r="F68" i="6"/>
  <c r="F67" i="6"/>
  <c r="F66" i="6"/>
  <c r="F65" i="6"/>
  <c r="F64" i="6"/>
  <c r="F60" i="6"/>
  <c r="F59" i="6"/>
  <c r="F58" i="6"/>
  <c r="F54" i="6"/>
  <c r="F53" i="6"/>
  <c r="F52" i="6"/>
  <c r="F48" i="6"/>
  <c r="F47" i="6"/>
  <c r="F46" i="6"/>
  <c r="F45" i="6"/>
  <c r="F44" i="6"/>
  <c r="F43" i="6"/>
  <c r="F42" i="6"/>
  <c r="F41" i="6"/>
  <c r="F37" i="6"/>
  <c r="F36" i="6"/>
  <c r="F35" i="6"/>
  <c r="F34" i="6"/>
  <c r="F33" i="6"/>
  <c r="F32" i="6"/>
  <c r="F31" i="6"/>
  <c r="F30" i="6"/>
  <c r="F29" i="6"/>
  <c r="F28" i="6"/>
  <c r="F22" i="6" l="1"/>
  <c r="D70" i="6"/>
  <c r="D177" i="6" s="1"/>
  <c r="E174" i="6"/>
  <c r="M22" i="6"/>
  <c r="M70" i="6" s="1"/>
  <c r="I22" i="6"/>
  <c r="I70" i="6" s="1"/>
  <c r="E177" i="6" l="1"/>
  <c r="H22" i="6" s="1"/>
  <c r="M174" i="6"/>
  <c r="L174" i="6"/>
  <c r="I174" i="6"/>
  <c r="H174" i="6"/>
  <c r="H70" i="6" l="1"/>
  <c r="H177" i="6" s="1"/>
  <c r="L22" i="6" s="1"/>
  <c r="J22" i="6"/>
  <c r="F70" i="6"/>
  <c r="J174" i="6"/>
  <c r="N174" i="6"/>
  <c r="F174" i="6"/>
  <c r="F177" i="6"/>
  <c r="N22" i="6" l="1"/>
  <c r="L70" i="6"/>
  <c r="J70" i="6"/>
  <c r="N70" i="6" l="1"/>
  <c r="L177" i="6"/>
  <c r="I177" i="6"/>
  <c r="M177" i="6"/>
  <c r="N177" i="6" l="1"/>
  <c r="J177" i="6"/>
</calcChain>
</file>

<file path=xl/sharedStrings.xml><?xml version="1.0" encoding="utf-8"?>
<sst xmlns="http://schemas.openxmlformats.org/spreadsheetml/2006/main" count="153" uniqueCount="117">
  <si>
    <t>REAL</t>
  </si>
  <si>
    <t>Saldo Inicial en bancos:</t>
  </si>
  <si>
    <t>TOTAL EN BANCOS</t>
  </si>
  <si>
    <t>Flujos de Entrada</t>
  </si>
  <si>
    <t>OTROS INGRESOS</t>
  </si>
  <si>
    <t>Flujos de Salida</t>
  </si>
  <si>
    <t>Nómina Semanal (Sindicalizada)</t>
  </si>
  <si>
    <t>Cuotas Sindicales</t>
  </si>
  <si>
    <t>Nómina Quincenal (Administrativa)</t>
  </si>
  <si>
    <t>Becarios</t>
  </si>
  <si>
    <t>Viáticos</t>
  </si>
  <si>
    <t>Finiquitos</t>
  </si>
  <si>
    <t>Préstamos personales / Apoyos económicos</t>
  </si>
  <si>
    <t>Otros relacionados al Personal</t>
  </si>
  <si>
    <t>Luz</t>
  </si>
  <si>
    <t>Telefono e Internet</t>
  </si>
  <si>
    <t>Agua</t>
  </si>
  <si>
    <t>Rentas</t>
  </si>
  <si>
    <t>Gas</t>
  </si>
  <si>
    <t>Servicio de Vigilancia</t>
  </si>
  <si>
    <t>Servicio de Limpieza</t>
  </si>
  <si>
    <t>Servicio de Comedor</t>
  </si>
  <si>
    <t>Reembolsos &amp; Caja Chica</t>
  </si>
  <si>
    <t>Tarjeta de Gasolina</t>
  </si>
  <si>
    <t>Casetas</t>
  </si>
  <si>
    <t>Trasladistas</t>
  </si>
  <si>
    <t>Fletes</t>
  </si>
  <si>
    <t>Otros gastos relacionados a la Operación</t>
  </si>
  <si>
    <t>IMSS</t>
  </si>
  <si>
    <t>INFONAVIT</t>
  </si>
  <si>
    <t>IMPT S/NOMINA</t>
  </si>
  <si>
    <t>IVA</t>
  </si>
  <si>
    <t>ISR</t>
  </si>
  <si>
    <t>Proveedores</t>
  </si>
  <si>
    <t>Otros comisionistas</t>
  </si>
  <si>
    <t>Consultores Externos</t>
  </si>
  <si>
    <t>Certificaciones</t>
  </si>
  <si>
    <t>Auditorías</t>
  </si>
  <si>
    <t>TI</t>
  </si>
  <si>
    <t>Capacitación</t>
  </si>
  <si>
    <t>Otros (papelería, mensajería, etc.)</t>
  </si>
  <si>
    <t>Publicidad &amp; Promoción</t>
  </si>
  <si>
    <t>Mantenimiento</t>
  </si>
  <si>
    <t>Arquitectos / Ingenieros</t>
  </si>
  <si>
    <t>Constructores</t>
  </si>
  <si>
    <t>Pagos de Otras Obligaciones</t>
  </si>
  <si>
    <t>Total de Gastos</t>
  </si>
  <si>
    <t>Saldo Final</t>
  </si>
  <si>
    <t>.</t>
  </si>
  <si>
    <t>12 al 18</t>
  </si>
  <si>
    <t>Seguros individuales</t>
  </si>
  <si>
    <t>Seguro Multiple para empresas</t>
  </si>
  <si>
    <t>PRONOSTICO</t>
  </si>
  <si>
    <t>000000000451844040</t>
  </si>
  <si>
    <t>000000000451844067</t>
  </si>
  <si>
    <t>'0113010967</t>
  </si>
  <si>
    <t>4015237282</t>
  </si>
  <si>
    <t>50010573337</t>
  </si>
  <si>
    <t xml:space="preserve">Diferencia </t>
  </si>
  <si>
    <t>SEMANA</t>
  </si>
  <si>
    <t>28 al 4</t>
  </si>
  <si>
    <t>5 al 11</t>
  </si>
  <si>
    <t>AAA</t>
  </si>
  <si>
    <t>BBB</t>
  </si>
  <si>
    <t>CCC</t>
  </si>
  <si>
    <t>DDD</t>
  </si>
  <si>
    <t>EEE</t>
  </si>
  <si>
    <t>FFF</t>
  </si>
  <si>
    <t>GGG</t>
  </si>
  <si>
    <t>HHH</t>
  </si>
  <si>
    <t>III</t>
  </si>
  <si>
    <t>JJJ</t>
  </si>
  <si>
    <t>222</t>
  </si>
  <si>
    <t>333</t>
  </si>
  <si>
    <t>444</t>
  </si>
  <si>
    <t>555</t>
  </si>
  <si>
    <t>666</t>
  </si>
  <si>
    <t>777</t>
  </si>
  <si>
    <t>888</t>
  </si>
  <si>
    <t>COBRANZA OTRAS ÁREAS</t>
  </si>
  <si>
    <t>XXX</t>
  </si>
  <si>
    <t>YYY</t>
  </si>
  <si>
    <t>ZZZ</t>
  </si>
  <si>
    <t>xxx</t>
  </si>
  <si>
    <t>yyy</t>
  </si>
  <si>
    <t>zzz</t>
  </si>
  <si>
    <t>BANCOS Y FINANCIERAS</t>
  </si>
  <si>
    <t>Otros</t>
  </si>
  <si>
    <t>SALARIOS Y NÓMINAS</t>
  </si>
  <si>
    <t>Comisiones AAA</t>
  </si>
  <si>
    <t>Comisiones BBB</t>
  </si>
  <si>
    <t>Comisiones CCC</t>
  </si>
  <si>
    <t>Bonos</t>
  </si>
  <si>
    <t>Destajos</t>
  </si>
  <si>
    <t>Otras Comisiones / Incentivos</t>
  </si>
  <si>
    <t>PAGO AL CORPORATIVO</t>
  </si>
  <si>
    <t>SERVICIOS</t>
  </si>
  <si>
    <t>IMPUESTOS</t>
  </si>
  <si>
    <t>MATERIA PRIMA / FLETES</t>
  </si>
  <si>
    <t>OTROS PROVEEDORES</t>
  </si>
  <si>
    <t>CAPEX Y GASTOS CORPORATIVOS</t>
  </si>
  <si>
    <t>COBRANZA CLIENTES CON CRÉDITOS QUE VENCEN</t>
  </si>
  <si>
    <t>COBRANZA CLIENTES - COBRANZA CORRIENTE</t>
  </si>
  <si>
    <t>PAGO PROVEEDORES CON CRÉDITOS QUE VENCEN</t>
  </si>
  <si>
    <t>ENTRADA DE CRÉDITOS Y FINANC.</t>
  </si>
  <si>
    <t>KKK</t>
  </si>
  <si>
    <t>PROVISION</t>
  </si>
  <si>
    <t>Total FLUJOS DE ENTRADA</t>
  </si>
  <si>
    <t>BANCO 1</t>
  </si>
  <si>
    <t>BANCO 2</t>
  </si>
  <si>
    <t>BANCO 3</t>
  </si>
  <si>
    <t>BANCO 4</t>
  </si>
  <si>
    <t>BANCO 5</t>
  </si>
  <si>
    <t>BANCO 6</t>
  </si>
  <si>
    <t>BANCO 7</t>
  </si>
  <si>
    <t>BANCO 8</t>
  </si>
  <si>
    <t>BANCO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</si>
</sst>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F400]h:mm:ss\ AM/PM"/>
    <numFmt numFmtId="165" formatCode="_-* #,##0_-;\-* #,##0_-;_-* &quot;-&quot;??_-;_-@_-"/>
    <numFmt numFmtId="166" formatCode="_(* #,##0.00_);_(* \(#,##0.00\);_(* &quot;-&quot;??_);_(@_)"/>
    <numFmt numFmtId="167" formatCode="_(* #,##0_);_(* \(#,##0\);_(* &quot;-&quot;??_);_(@_)"/>
    <numFmt numFmtId="168" formatCode="#,##0_ ;[Red]\-#,##0\ "/>
    <numFmt numFmtId="169" formatCode="_-* #,##0.00_-;\-* #,##0.00_-;_-* \-??_-;_-@_-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 Narrow"/>
      <family val="2"/>
    </font>
    <font>
      <sz val="11"/>
      <color theme="4"/>
      <name val="Arial Narrow"/>
      <family val="2"/>
    </font>
    <font>
      <b/>
      <sz val="11"/>
      <name val="Arial Narrow"/>
      <family val="2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1"/>
      <charset val="1"/>
    </font>
    <font>
      <sz val="10"/>
      <name val="Arial"/>
      <family val="2"/>
      <charset val="1"/>
    </font>
    <font>
      <sz val="11"/>
      <color theme="1"/>
      <name val="Arial Narrow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Aptos Narrow"/>
      <family val="2"/>
    </font>
    <font>
      <i/>
      <sz val="11"/>
      <name val="Arial Narrow"/>
      <family val="2"/>
    </font>
    <font>
      <b/>
      <sz val="18"/>
      <name val="Arial Narrow"/>
      <family val="2"/>
    </font>
    <font>
      <b/>
      <sz val="11"/>
      <color theme="0"/>
      <name val="Arial Narrow"/>
      <family val="2"/>
    </font>
    <font>
      <b/>
      <sz val="11"/>
      <color theme="1"/>
      <name val="Arial Narrow"/>
      <family val="2"/>
    </font>
    <font>
      <b/>
      <u/>
      <sz val="11"/>
      <name val="Arial Narrow"/>
      <family val="2"/>
    </font>
    <font>
      <b/>
      <u/>
      <sz val="11"/>
      <color theme="1"/>
      <name val="Arial Narrow"/>
      <family val="2"/>
    </font>
    <font>
      <b/>
      <u/>
      <sz val="11"/>
      <color theme="0"/>
      <name val="Arial Narrow"/>
      <family val="2"/>
    </font>
    <font>
      <b/>
      <u/>
      <sz val="14"/>
      <color theme="0"/>
      <name val="Arial Narrow"/>
      <family val="2"/>
    </font>
    <font>
      <b/>
      <sz val="12"/>
      <name val="Arial Narrow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C786E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 style="thick">
        <color rgb="FF002060"/>
      </right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 diagonalDown="1"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 style="thin">
        <color theme="0" tint="-0.24994659260841701"/>
      </diagonal>
    </border>
    <border>
      <left/>
      <right/>
      <top style="thick">
        <color rgb="FF002060"/>
      </top>
      <bottom style="thick">
        <color rgb="FF002060"/>
      </bottom>
      <diagonal/>
    </border>
  </borders>
  <cellStyleXfs count="53">
    <xf numFmtId="164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2" fillId="0" borderId="0"/>
    <xf numFmtId="164" fontId="2" fillId="0" borderId="0"/>
    <xf numFmtId="166" fontId="2" fillId="0" borderId="0" applyFont="0" applyFill="0" applyBorder="0" applyAlignment="0" applyProtection="0"/>
    <xf numFmtId="164" fontId="2" fillId="0" borderId="0"/>
    <xf numFmtId="0" fontId="1" fillId="0" borderId="0"/>
    <xf numFmtId="164" fontId="1" fillId="0" borderId="0"/>
    <xf numFmtId="164" fontId="2" fillId="0" borderId="0"/>
    <xf numFmtId="0" fontId="2" fillId="0" borderId="0" applyNumberFormat="0" applyFont="0" applyFill="0" applyBorder="0" applyAlignment="0" applyProtection="0"/>
    <xf numFmtId="164" fontId="2" fillId="0" borderId="0"/>
    <xf numFmtId="0" fontId="1" fillId="0" borderId="0"/>
    <xf numFmtId="0" fontId="1" fillId="0" borderId="0"/>
    <xf numFmtId="21" fontId="6" fillId="0" borderId="0" applyBorder="0" applyProtection="0"/>
    <xf numFmtId="164" fontId="7" fillId="0" borderId="0"/>
    <xf numFmtId="0" fontId="8" fillId="0" borderId="0" applyBorder="0" applyProtection="0"/>
    <xf numFmtId="164" fontId="9" fillId="0" borderId="0"/>
    <xf numFmtId="164" fontId="9" fillId="0" borderId="0"/>
    <xf numFmtId="0" fontId="7" fillId="0" borderId="0"/>
    <xf numFmtId="164" fontId="7" fillId="0" borderId="0" applyBorder="0" applyProtection="0"/>
    <xf numFmtId="164" fontId="7" fillId="0" borderId="0"/>
    <xf numFmtId="0" fontId="7" fillId="0" borderId="0"/>
    <xf numFmtId="0" fontId="1" fillId="0" borderId="0"/>
    <xf numFmtId="0" fontId="10" fillId="0" borderId="0"/>
    <xf numFmtId="0" fontId="12" fillId="0" borderId="0"/>
    <xf numFmtId="0" fontId="1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7" fillId="0" borderId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1" fillId="0" borderId="0"/>
    <xf numFmtId="0" fontId="2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2" fillId="0" borderId="0" applyNumberFormat="0" applyFont="0" applyFill="0" applyBorder="0" applyAlignment="0" applyProtection="0"/>
    <xf numFmtId="169" fontId="11" fillId="0" borderId="0" applyBorder="0" applyProtection="0"/>
    <xf numFmtId="169" fontId="11" fillId="0" borderId="0" applyBorder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6">
    <xf numFmtId="164" fontId="0" fillId="0" borderId="0" xfId="0"/>
    <xf numFmtId="9" fontId="3" fillId="0" borderId="0" xfId="2" applyFont="1" applyFill="1" applyProtection="1">
      <protection locked="0" hidden="1"/>
    </xf>
    <xf numFmtId="0" fontId="4" fillId="0" borderId="0" xfId="15" applyNumberFormat="1" applyFont="1" applyAlignment="1">
      <alignment horizontal="right"/>
    </xf>
    <xf numFmtId="164" fontId="3" fillId="11" borderId="0" xfId="17" applyFont="1" applyFill="1" applyAlignment="1">
      <alignment horizontal="right"/>
    </xf>
    <xf numFmtId="0" fontId="4" fillId="0" borderId="0" xfId="18" applyNumberFormat="1" applyFont="1" applyAlignment="1">
      <alignment horizontal="right"/>
    </xf>
    <xf numFmtId="0" fontId="4" fillId="0" borderId="0" xfId="19" applyFont="1" applyAlignment="1">
      <alignment horizontal="right"/>
    </xf>
    <xf numFmtId="49" fontId="4" fillId="0" borderId="0" xfId="15" applyNumberFormat="1" applyFont="1" applyAlignment="1">
      <alignment horizontal="right" vertical="top"/>
    </xf>
    <xf numFmtId="164" fontId="3" fillId="0" borderId="0" xfId="32" applyFont="1"/>
    <xf numFmtId="165" fontId="3" fillId="0" borderId="0" xfId="1" applyNumberFormat="1" applyFont="1"/>
    <xf numFmtId="165" fontId="14" fillId="0" borderId="0" xfId="1" applyNumberFormat="1" applyFont="1"/>
    <xf numFmtId="164" fontId="3" fillId="0" borderId="0" xfId="33" applyFont="1"/>
    <xf numFmtId="167" fontId="5" fillId="0" borderId="0" xfId="5" applyNumberFormat="1" applyFont="1" applyFill="1" applyBorder="1" applyAlignment="1">
      <alignment horizontal="center"/>
    </xf>
    <xf numFmtId="165" fontId="3" fillId="0" borderId="0" xfId="1" applyNumberFormat="1" applyFont="1" applyFill="1"/>
    <xf numFmtId="164" fontId="5" fillId="0" borderId="0" xfId="32" applyFont="1" applyAlignment="1">
      <alignment horizontal="center"/>
    </xf>
    <xf numFmtId="165" fontId="14" fillId="0" borderId="0" xfId="1" applyNumberFormat="1" applyFont="1" applyFill="1"/>
    <xf numFmtId="164" fontId="5" fillId="0" borderId="0" xfId="34" applyFont="1" applyAlignment="1">
      <alignment horizontal="center"/>
    </xf>
    <xf numFmtId="165" fontId="14" fillId="0" borderId="0" xfId="1" applyNumberFormat="1" applyFont="1" applyFill="1" applyBorder="1"/>
    <xf numFmtId="165" fontId="3" fillId="0" borderId="0" xfId="1" applyNumberFormat="1" applyFont="1" applyFill="1" applyBorder="1"/>
    <xf numFmtId="164" fontId="5" fillId="0" borderId="0" xfId="32" applyFont="1" applyAlignment="1">
      <alignment horizontal="center" vertical="center" wrapText="1"/>
    </xf>
    <xf numFmtId="164" fontId="3" fillId="0" borderId="0" xfId="32" applyFont="1" applyAlignment="1">
      <alignment horizontal="center" vertical="center" wrapText="1"/>
    </xf>
    <xf numFmtId="165" fontId="14" fillId="0" borderId="0" xfId="1" applyNumberFormat="1" applyFont="1" applyFill="1" applyAlignment="1">
      <alignment horizontal="center"/>
    </xf>
    <xf numFmtId="164" fontId="5" fillId="0" borderId="0" xfId="3" applyFont="1" applyAlignment="1">
      <alignment horizontal="center" vertical="center"/>
    </xf>
    <xf numFmtId="164" fontId="5" fillId="0" borderId="0" xfId="3" applyFont="1" applyAlignment="1">
      <alignment horizontal="center" vertical="center" wrapText="1"/>
    </xf>
    <xf numFmtId="164" fontId="3" fillId="0" borderId="0" xfId="3" applyFont="1" applyAlignment="1">
      <alignment horizontal="center" vertical="center" wrapText="1"/>
    </xf>
    <xf numFmtId="165" fontId="3" fillId="0" borderId="0" xfId="1" applyNumberFormat="1" applyFont="1" applyFill="1" applyBorder="1" applyAlignment="1">
      <alignment horizontal="center" vertical="center" wrapText="1"/>
    </xf>
    <xf numFmtId="164" fontId="3" fillId="0" borderId="0" xfId="4" applyFont="1"/>
    <xf numFmtId="164" fontId="3" fillId="0" borderId="0" xfId="3" applyFont="1" applyAlignment="1">
      <alignment horizontal="left"/>
    </xf>
    <xf numFmtId="164" fontId="18" fillId="0" borderId="0" xfId="3" applyFont="1" applyAlignment="1">
      <alignment horizontal="left"/>
    </xf>
    <xf numFmtId="4" fontId="3" fillId="0" borderId="12" xfId="1" applyNumberFormat="1" applyFont="1" applyBorder="1"/>
    <xf numFmtId="168" fontId="3" fillId="3" borderId="8" xfId="1" applyNumberFormat="1" applyFont="1" applyFill="1" applyBorder="1"/>
    <xf numFmtId="168" fontId="14" fillId="0" borderId="0" xfId="1" applyNumberFormat="1" applyFont="1"/>
    <xf numFmtId="168" fontId="3" fillId="0" borderId="0" xfId="1" applyNumberFormat="1" applyFont="1"/>
    <xf numFmtId="168" fontId="3" fillId="0" borderId="12" xfId="1" applyNumberFormat="1" applyFont="1" applyBorder="1"/>
    <xf numFmtId="1" fontId="4" fillId="0" borderId="0" xfId="0" applyNumberFormat="1" applyFont="1" applyAlignment="1">
      <alignment horizontal="right"/>
    </xf>
    <xf numFmtId="164" fontId="3" fillId="10" borderId="0" xfId="9" applyFont="1" applyFill="1" applyAlignment="1">
      <alignment horizontal="right"/>
    </xf>
    <xf numFmtId="164" fontId="5" fillId="0" borderId="0" xfId="6" applyFont="1" applyAlignment="1">
      <alignment horizontal="right"/>
    </xf>
    <xf numFmtId="164" fontId="5" fillId="0" borderId="0" xfId="3" applyFont="1" applyAlignment="1">
      <alignment horizontal="left"/>
    </xf>
    <xf numFmtId="168" fontId="5" fillId="0" borderId="7" xfId="1" applyNumberFormat="1" applyFont="1" applyBorder="1"/>
    <xf numFmtId="168" fontId="5" fillId="0" borderId="0" xfId="1" applyNumberFormat="1" applyFont="1"/>
    <xf numFmtId="164" fontId="5" fillId="0" borderId="0" xfId="4" applyFont="1"/>
    <xf numFmtId="164" fontId="3" fillId="0" borderId="0" xfId="3" applyFont="1" applyAlignment="1">
      <alignment horizontal="right"/>
    </xf>
    <xf numFmtId="164" fontId="5" fillId="0" borderId="0" xfId="3" applyFont="1" applyAlignment="1" applyProtection="1">
      <alignment horizontal="center"/>
      <protection locked="0"/>
    </xf>
    <xf numFmtId="168" fontId="5" fillId="0" borderId="0" xfId="3" applyNumberFormat="1" applyFont="1" applyAlignment="1" applyProtection="1">
      <alignment horizontal="center"/>
      <protection locked="0"/>
    </xf>
    <xf numFmtId="164" fontId="5" fillId="0" borderId="0" xfId="32" applyFont="1" applyAlignment="1" applyProtection="1">
      <alignment horizontal="center"/>
      <protection locked="0"/>
    </xf>
    <xf numFmtId="164" fontId="3" fillId="0" borderId="0" xfId="32" applyFont="1" applyAlignment="1">
      <alignment horizontal="right"/>
    </xf>
    <xf numFmtId="164" fontId="3" fillId="0" borderId="0" xfId="32" applyFont="1" applyAlignment="1">
      <alignment horizontal="left"/>
    </xf>
    <xf numFmtId="168" fontId="3" fillId="0" borderId="7" xfId="1" applyNumberFormat="1" applyFont="1" applyBorder="1"/>
    <xf numFmtId="168" fontId="3" fillId="0" borderId="7" xfId="1" applyNumberFormat="1" applyFont="1" applyFill="1" applyBorder="1"/>
    <xf numFmtId="164" fontId="18" fillId="0" borderId="0" xfId="32" applyFont="1" applyAlignment="1">
      <alignment horizontal="left"/>
    </xf>
    <xf numFmtId="168" fontId="5" fillId="0" borderId="0" xfId="32" applyNumberFormat="1" applyFont="1" applyAlignment="1" applyProtection="1">
      <alignment horizontal="center"/>
      <protection locked="0"/>
    </xf>
    <xf numFmtId="49" fontId="3" fillId="0" borderId="0" xfId="32" applyNumberFormat="1" applyFont="1" applyAlignment="1">
      <alignment horizontal="right"/>
    </xf>
    <xf numFmtId="164" fontId="19" fillId="0" borderId="0" xfId="3" applyFont="1" applyAlignment="1">
      <alignment horizontal="left"/>
    </xf>
    <xf numFmtId="164" fontId="17" fillId="0" borderId="0" xfId="3" applyFont="1" applyAlignment="1">
      <alignment horizontal="right"/>
    </xf>
    <xf numFmtId="164" fontId="17" fillId="0" borderId="0" xfId="3" applyFont="1" applyAlignment="1">
      <alignment horizontal="left"/>
    </xf>
    <xf numFmtId="168" fontId="17" fillId="4" borderId="9" xfId="1" applyNumberFormat="1" applyFont="1" applyFill="1" applyBorder="1"/>
    <xf numFmtId="168" fontId="17" fillId="5" borderId="10" xfId="1" applyNumberFormat="1" applyFont="1" applyFill="1" applyBorder="1"/>
    <xf numFmtId="164" fontId="17" fillId="0" borderId="0" xfId="4" applyFont="1"/>
    <xf numFmtId="164" fontId="3" fillId="0" borderId="11" xfId="3" applyFont="1" applyBorder="1"/>
    <xf numFmtId="168" fontId="3" fillId="0" borderId="11" xfId="1" applyNumberFormat="1" applyFont="1" applyBorder="1"/>
    <xf numFmtId="168" fontId="14" fillId="0" borderId="11" xfId="1" applyNumberFormat="1" applyFont="1" applyBorder="1"/>
    <xf numFmtId="164" fontId="3" fillId="0" borderId="0" xfId="3" applyFont="1"/>
    <xf numFmtId="164" fontId="18" fillId="0" borderId="0" xfId="3" quotePrefix="1" applyFont="1" applyAlignment="1">
      <alignment horizontal="center"/>
    </xf>
    <xf numFmtId="164" fontId="18" fillId="0" borderId="0" xfId="32" quotePrefix="1" applyFont="1" applyAlignment="1">
      <alignment horizontal="center"/>
    </xf>
    <xf numFmtId="164" fontId="3" fillId="0" borderId="0" xfId="34" applyFont="1" applyAlignment="1">
      <alignment horizontal="right"/>
    </xf>
    <xf numFmtId="164" fontId="3" fillId="0" borderId="0" xfId="33" applyFont="1" applyAlignment="1">
      <alignment horizontal="right"/>
    </xf>
    <xf numFmtId="0" fontId="3" fillId="0" borderId="0" xfId="10" applyFont="1" applyFill="1" applyAlignment="1" applyProtection="1">
      <alignment horizontal="right"/>
    </xf>
    <xf numFmtId="164" fontId="5" fillId="0" borderId="0" xfId="32" applyFont="1" applyAlignment="1">
      <alignment horizontal="right"/>
    </xf>
    <xf numFmtId="164" fontId="5" fillId="0" borderId="0" xfId="3" applyFont="1" applyAlignment="1">
      <alignment horizontal="right"/>
    </xf>
    <xf numFmtId="168" fontId="16" fillId="6" borderId="9" xfId="1" applyNumberFormat="1" applyFont="1" applyFill="1" applyBorder="1"/>
    <xf numFmtId="168" fontId="16" fillId="7" borderId="10" xfId="1" applyNumberFormat="1" applyFont="1" applyFill="1" applyBorder="1"/>
    <xf numFmtId="168" fontId="22" fillId="0" borderId="9" xfId="1" applyNumberFormat="1" applyFont="1" applyBorder="1"/>
    <xf numFmtId="43" fontId="3" fillId="0" borderId="0" xfId="1" applyFont="1" applyFill="1" applyBorder="1"/>
    <xf numFmtId="164" fontId="3" fillId="9" borderId="0" xfId="3" applyFont="1" applyFill="1"/>
    <xf numFmtId="164" fontId="3" fillId="9" borderId="0" xfId="4" applyFont="1" applyFill="1"/>
    <xf numFmtId="164" fontId="14" fillId="9" borderId="0" xfId="4" applyFont="1" applyFill="1"/>
    <xf numFmtId="164" fontId="3" fillId="5" borderId="0" xfId="4" applyFont="1" applyFill="1"/>
    <xf numFmtId="164" fontId="3" fillId="5" borderId="0" xfId="3" applyFont="1" applyFill="1"/>
    <xf numFmtId="164" fontId="14" fillId="5" borderId="0" xfId="4" applyFont="1" applyFill="1"/>
    <xf numFmtId="164" fontId="14" fillId="0" borderId="0" xfId="3" applyFont="1"/>
    <xf numFmtId="49" fontId="3" fillId="0" borderId="0" xfId="3" applyNumberFormat="1" applyFont="1"/>
    <xf numFmtId="14" fontId="10" fillId="0" borderId="0" xfId="0" applyNumberFormat="1" applyFont="1"/>
    <xf numFmtId="14" fontId="10" fillId="9" borderId="0" xfId="0" applyNumberFormat="1" applyFont="1" applyFill="1"/>
    <xf numFmtId="165" fontId="15" fillId="0" borderId="0" xfId="1" applyNumberFormat="1" applyFont="1" applyFill="1" applyBorder="1" applyAlignment="1">
      <alignment horizontal="center" vertical="center"/>
    </xf>
    <xf numFmtId="165" fontId="3" fillId="0" borderId="3" xfId="1" applyNumberFormat="1" applyFont="1" applyFill="1" applyBorder="1" applyAlignment="1">
      <alignment horizontal="center" vertical="center" wrapText="1"/>
    </xf>
    <xf numFmtId="165" fontId="3" fillId="0" borderId="4" xfId="1" applyNumberFormat="1" applyFont="1" applyFill="1" applyBorder="1" applyAlignment="1">
      <alignment horizontal="center" vertical="center" wrapText="1"/>
    </xf>
    <xf numFmtId="164" fontId="5" fillId="0" borderId="0" xfId="17" applyFont="1" applyAlignment="1">
      <alignment horizontal="right"/>
    </xf>
    <xf numFmtId="1" fontId="16" fillId="2" borderId="1" xfId="1" applyNumberFormat="1" applyFont="1" applyFill="1" applyBorder="1" applyAlignment="1">
      <alignment horizontal="center"/>
    </xf>
    <xf numFmtId="1" fontId="16" fillId="2" borderId="2" xfId="1" applyNumberFormat="1" applyFont="1" applyFill="1" applyBorder="1" applyAlignment="1">
      <alignment horizontal="center"/>
    </xf>
    <xf numFmtId="1" fontId="16" fillId="13" borderId="2" xfId="1" applyNumberFormat="1" applyFont="1" applyFill="1" applyBorder="1" applyAlignment="1">
      <alignment horizontal="center"/>
    </xf>
    <xf numFmtId="1" fontId="5" fillId="3" borderId="13" xfId="1" applyNumberFormat="1" applyFont="1" applyFill="1" applyBorder="1" applyAlignment="1">
      <alignment horizontal="center"/>
    </xf>
    <xf numFmtId="165" fontId="3" fillId="3" borderId="3" xfId="1" applyNumberFormat="1" applyFont="1" applyFill="1" applyBorder="1" applyAlignment="1">
      <alignment horizontal="center" vertical="center" wrapText="1"/>
    </xf>
    <xf numFmtId="165" fontId="3" fillId="3" borderId="4" xfId="1" applyNumberFormat="1" applyFont="1" applyFill="1" applyBorder="1" applyAlignment="1">
      <alignment horizontal="center" vertical="center" wrapText="1"/>
    </xf>
    <xf numFmtId="164" fontId="5" fillId="0" borderId="0" xfId="32" applyFont="1" applyAlignment="1">
      <alignment horizontal="center" vertical="center"/>
    </xf>
    <xf numFmtId="164" fontId="5" fillId="0" borderId="0" xfId="32" applyFont="1" applyAlignment="1">
      <alignment horizontal="center" vertical="center" wrapText="1"/>
    </xf>
    <xf numFmtId="164" fontId="21" fillId="8" borderId="5" xfId="32" applyFont="1" applyFill="1" applyBorder="1" applyAlignment="1">
      <alignment horizontal="center"/>
    </xf>
    <xf numFmtId="164" fontId="21" fillId="8" borderId="6" xfId="32" applyFont="1" applyFill="1" applyBorder="1" applyAlignment="1">
      <alignment horizontal="center"/>
    </xf>
    <xf numFmtId="164" fontId="22" fillId="4" borderId="5" xfId="3" applyFont="1" applyFill="1" applyBorder="1" applyAlignment="1">
      <alignment horizontal="center"/>
    </xf>
    <xf numFmtId="164" fontId="22" fillId="4" borderId="6" xfId="3" applyFont="1" applyFill="1" applyBorder="1" applyAlignment="1">
      <alignment horizontal="center"/>
    </xf>
    <xf numFmtId="164" fontId="5" fillId="0" borderId="0" xfId="3" applyFont="1" applyAlignment="1" applyProtection="1">
      <alignment horizontal="center"/>
      <protection locked="0"/>
    </xf>
    <xf numFmtId="164" fontId="5" fillId="12" borderId="0" xfId="32" applyFont="1" applyFill="1" applyAlignment="1" applyProtection="1">
      <alignment horizontal="center"/>
      <protection locked="0"/>
    </xf>
    <xf numFmtId="164" fontId="5" fillId="0" borderId="0" xfId="32" applyFont="1" applyAlignment="1" applyProtection="1">
      <alignment horizontal="center"/>
      <protection locked="0"/>
    </xf>
    <xf numFmtId="164" fontId="5" fillId="0" borderId="0" xfId="32" applyFont="1" applyAlignment="1">
      <alignment horizontal="center"/>
    </xf>
    <xf numFmtId="164" fontId="20" fillId="6" borderId="5" xfId="3" applyFont="1" applyFill="1" applyBorder="1" applyAlignment="1">
      <alignment horizontal="center"/>
    </xf>
    <xf numFmtId="164" fontId="20" fillId="6" borderId="6" xfId="3" applyFont="1" applyFill="1" applyBorder="1" applyAlignment="1">
      <alignment horizontal="center"/>
    </xf>
    <xf numFmtId="164" fontId="18" fillId="0" borderId="5" xfId="3" applyFont="1" applyBorder="1" applyAlignment="1">
      <alignment horizontal="center"/>
    </xf>
    <xf numFmtId="164" fontId="18" fillId="0" borderId="6" xfId="3" applyFont="1" applyBorder="1" applyAlignment="1">
      <alignment horizontal="center"/>
    </xf>
  </cellXfs>
  <cellStyles count="53">
    <cellStyle name="=C:\WINNT\SYSTEM32\COMMAND.COM" xfId="52" xr:uid="{B969F1C3-FBA7-4660-BCFB-7AB482B74E2A}"/>
    <cellStyle name="Millares" xfId="1" builtinId="3"/>
    <cellStyle name="Millares 10" xfId="43" xr:uid="{3D75271A-6A17-4D34-B4F2-44D1E1549025}"/>
    <cellStyle name="Millares 10 2" xfId="49" xr:uid="{5D4365B5-AEF0-446E-803D-DF4FFAA69A99}"/>
    <cellStyle name="Millares 10 3" xfId="50" xr:uid="{1DB2B1F6-654D-495C-9D81-72E913DD7C33}"/>
    <cellStyle name="Millares 12 2 6" xfId="45" xr:uid="{1B063BF7-F68E-4C61-BF7D-3A91CF04F189}"/>
    <cellStyle name="Millares 16" xfId="44" xr:uid="{A9C85E28-27E2-49C0-A5D7-17BDFE07DE17}"/>
    <cellStyle name="Millares 2" xfId="27" xr:uid="{F546A9A3-310F-499B-B319-0BDA8A64D195}"/>
    <cellStyle name="Millares 26" xfId="48" xr:uid="{A5E7DB56-3BAB-402D-867A-FA5F665B2282}"/>
    <cellStyle name="Millares 3" xfId="39" xr:uid="{F1A8AC3E-24BC-4A9B-B85E-ACB0EFB3BDF2}"/>
    <cellStyle name="Millares 4" xfId="51" xr:uid="{1368CEE4-55DD-48F5-AC98-7E3941750BD0}"/>
    <cellStyle name="Millares 6" xfId="41" xr:uid="{E1D8BA69-9134-4A23-A26F-8E662DB34DA3}"/>
    <cellStyle name="Millares 9" xfId="38" xr:uid="{00812F25-E676-4341-A917-6BB9F30E5791}"/>
    <cellStyle name="Millares_Nov 30 2003" xfId="5" xr:uid="{5ECDE741-59AF-4A68-B0C7-8A99093468A7}"/>
    <cellStyle name="Moneda 2" xfId="31" xr:uid="{47D8379F-3ACB-4E6A-9D9E-F1A6372B496D}"/>
    <cellStyle name="Moneda 2 17" xfId="28" xr:uid="{0D3D6B26-63BB-419D-A8F1-A7BDD2B5F6D6}"/>
    <cellStyle name="Moneda 3" xfId="30" xr:uid="{FE0FEB6D-5C74-4034-A294-3B3F940F826D}"/>
    <cellStyle name="Moneda 3 2" xfId="42" xr:uid="{0706E21A-F1B7-442A-9D9A-5E71CA1ECB7B}"/>
    <cellStyle name="Normal" xfId="0" builtinId="0"/>
    <cellStyle name="Normal 10" xfId="8" xr:uid="{527F0B46-8696-4CFB-A713-38D166B98251}"/>
    <cellStyle name="Normal 10 2" xfId="15" xr:uid="{D296ECD7-45B9-4DAD-825D-68F545D4CA11}"/>
    <cellStyle name="Normal 10 2 2 2" xfId="21" xr:uid="{BF3AA1B3-9E4E-40F9-9B45-259D5C4E4C35}"/>
    <cellStyle name="Normal 10 3" xfId="36" xr:uid="{89499E3B-CBB9-44B8-AF67-16158E6ADB66}"/>
    <cellStyle name="Normal 14" xfId="13" xr:uid="{212E9832-5181-4166-A778-1B4314FEAC1F}"/>
    <cellStyle name="Normal 14 2" xfId="22" xr:uid="{85F76074-6B6B-4B9B-BB2E-F8CC814F12C5}"/>
    <cellStyle name="Normal 2" xfId="4" xr:uid="{EF6D44D8-C94C-4F08-B9ED-A4BC71E4249D}"/>
    <cellStyle name="Normal 2 10" xfId="11" xr:uid="{493B205D-7A3B-43D1-8083-1E8BE72055E1}"/>
    <cellStyle name="Normal 2 10 2" xfId="35" xr:uid="{656F5BBD-D4A7-464B-AC63-E929FA8D057A}"/>
    <cellStyle name="Normal 2 2" xfId="33" xr:uid="{3231D368-0B48-4551-BA09-CEE46560A569}"/>
    <cellStyle name="Normal 2 2 3" xfId="18" xr:uid="{97482C61-1705-4F4A-8F96-410C9E3D3F67}"/>
    <cellStyle name="Normal 2 2 4" xfId="12" xr:uid="{15DBCDEF-374D-4965-821F-8527B202DCF8}"/>
    <cellStyle name="Normal 2 3" xfId="46" xr:uid="{5AB57FCB-B2F5-4282-84B7-E5F68086B308}"/>
    <cellStyle name="Normal 2 3 2" xfId="10" xr:uid="{1E756FA1-0A43-4E1C-B8D6-FC85DBC08E07}"/>
    <cellStyle name="Normal 2 3 2 2" xfId="20" xr:uid="{DF8F5D39-E1E2-490A-B794-CCACDC5BD598}"/>
    <cellStyle name="Normal 2 8" xfId="14" xr:uid="{10A9E9DD-AC44-45DB-8DE3-D69DEA1C08E5}"/>
    <cellStyle name="Normal 3" xfId="40" xr:uid="{73474D96-C926-4092-8E8E-8CE30861AE04}"/>
    <cellStyle name="Normal 3 2" xfId="7" xr:uid="{202FA6B3-37F9-4EC4-9C0D-D94FAB8D1090}"/>
    <cellStyle name="Normal 3 2 2" xfId="19" xr:uid="{59C6D500-7B38-437C-8DA5-B8F001EF46A0}"/>
    <cellStyle name="Normal 3 2 5" xfId="16" xr:uid="{111C72D2-32EC-4B55-B7E7-8C53EE201C21}"/>
    <cellStyle name="Normal 3 3" xfId="47" xr:uid="{651B50F8-A50A-4651-800E-E7D70B347EA8}"/>
    <cellStyle name="Normal 3 4" xfId="26" xr:uid="{3AD4E4F8-B1D1-4DE9-952F-8C1C2E4E3FAA}"/>
    <cellStyle name="Normal 4" xfId="37" xr:uid="{B2CD0F0A-6AD5-4E64-8538-EC980A8359E0}"/>
    <cellStyle name="Normal 4 2" xfId="23" xr:uid="{67E4F5E7-202C-41F5-84CF-EAB64151A835}"/>
    <cellStyle name="Normal 4 2 2" xfId="25" xr:uid="{3A58DD5E-65F2-4B2E-8F77-53D1CA8F6DF5}"/>
    <cellStyle name="Normal 40" xfId="24" xr:uid="{CB27B37B-2BF2-4ED1-8E32-D55A3D171ACE}"/>
    <cellStyle name="Normal 5" xfId="29" xr:uid="{AEF99491-09DE-4E3C-9B87-08A928D6C16E}"/>
    <cellStyle name="Normal_Nov 30 2003" xfId="3" xr:uid="{F7E2862B-693F-41EA-B836-99CA76F09529}"/>
    <cellStyle name="Normal_Nov 30 2003 10" xfId="6" xr:uid="{9A8AAFBB-9752-4483-8E3B-89FE5D3CDE86}"/>
    <cellStyle name="Normal_Nov 30 2003 10 2 2" xfId="9" xr:uid="{105521BC-C68D-4D2C-80DC-C7C230A22F59}"/>
    <cellStyle name="Normal_Nov 30 2003 10 2 2 4" xfId="34" xr:uid="{B9E166F8-C2C0-4373-AE79-F89AA355628E}"/>
    <cellStyle name="Normal_Nov 30 2003 10 4 2 2" xfId="17" xr:uid="{3F58A0FD-E388-43A2-A96D-32EC908F9B71}"/>
    <cellStyle name="Normal_Nov 30 2003 3" xfId="32" xr:uid="{4C4FCC6E-4754-41F0-BFA2-C408EBBE780B}"/>
    <cellStyle name="Porcentaje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FF"/>
      <color rgb="FF00FF00"/>
      <color rgb="FFFF3300"/>
      <color rgb="FFFF66FF"/>
      <color rgb="FFCA06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1FE4-0278-42FB-AAC5-AC0BA4265B78}">
  <sheetPr codeName="Hoja9"/>
  <dimension ref="A1:O133812"/>
  <sheetViews>
    <sheetView showGridLines="0" tabSelected="1" zoomScale="120" zoomScaleNormal="120" workbookViewId="0">
      <pane xSplit="2" ySplit="8" topLeftCell="C9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11.5" defaultRowHeight="14" outlineLevelRow="1" outlineLevelCol="1"/>
  <cols>
    <col min="1" max="1" width="23.6640625" style="60" customWidth="1"/>
    <col min="2" max="2" width="31.6640625" style="60" customWidth="1"/>
    <col min="3" max="3" width="1.6640625" style="60" customWidth="1"/>
    <col min="4" max="5" width="16.1640625" style="8" customWidth="1"/>
    <col min="6" max="6" width="13.5" style="9" customWidth="1"/>
    <col min="7" max="7" width="8.6640625" style="8" customWidth="1"/>
    <col min="8" max="8" width="15" style="8" customWidth="1" outlineLevel="1"/>
    <col min="9" max="9" width="15.5" style="8" customWidth="1" outlineLevel="1"/>
    <col min="10" max="10" width="13.5" style="9" customWidth="1" outlineLevel="1"/>
    <col min="11" max="11" width="8.6640625" style="8" customWidth="1"/>
    <col min="12" max="12" width="15.5" style="8" customWidth="1" outlineLevel="1"/>
    <col min="13" max="13" width="16.6640625" style="8" customWidth="1" outlineLevel="1"/>
    <col min="14" max="14" width="13.5" style="9" customWidth="1" outlineLevel="1"/>
    <col min="15" max="15" width="8.6640625" style="8" customWidth="1"/>
    <col min="16" max="16" width="11.5" style="25" customWidth="1"/>
    <col min="17" max="16384" width="11.5" style="25"/>
  </cols>
  <sheetData>
    <row r="1" spans="1:15" s="10" customFormat="1">
      <c r="A1" s="7"/>
      <c r="B1" s="7"/>
      <c r="C1" s="7"/>
      <c r="D1" s="8"/>
      <c r="E1" s="8"/>
      <c r="F1" s="9"/>
      <c r="G1" s="8"/>
      <c r="H1" s="8"/>
      <c r="I1" s="8"/>
      <c r="J1" s="9"/>
      <c r="K1" s="8"/>
      <c r="L1" s="8"/>
      <c r="M1" s="8"/>
      <c r="N1" s="9"/>
      <c r="O1" s="8"/>
    </row>
    <row r="2" spans="1:15" s="8" customFormat="1" ht="14.5" customHeight="1">
      <c r="A2" s="11"/>
      <c r="B2" s="11"/>
      <c r="C2" s="11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1:15" s="8" customFormat="1" ht="14.5" customHeight="1">
      <c r="A3" s="13"/>
      <c r="B3" s="13"/>
      <c r="C3" s="13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 spans="1:15" s="8" customFormat="1" ht="15" thickBot="1">
      <c r="A4" s="85" t="s">
        <v>59</v>
      </c>
      <c r="B4" s="85"/>
      <c r="C4" s="13"/>
      <c r="D4" s="86">
        <v>18</v>
      </c>
      <c r="E4" s="87"/>
      <c r="F4" s="14"/>
      <c r="G4" s="12"/>
      <c r="H4" s="88">
        <v>19</v>
      </c>
      <c r="I4" s="88"/>
      <c r="J4" s="14"/>
      <c r="K4" s="12"/>
      <c r="L4" s="87">
        <v>20</v>
      </c>
      <c r="M4" s="87"/>
      <c r="N4" s="14"/>
      <c r="O4" s="12"/>
    </row>
    <row r="5" spans="1:15" s="8" customFormat="1" ht="16" thickTop="1" thickBot="1">
      <c r="A5" s="15"/>
      <c r="B5" s="15"/>
      <c r="C5" s="13"/>
      <c r="D5" s="89" t="s">
        <v>60</v>
      </c>
      <c r="E5" s="89"/>
      <c r="F5" s="16"/>
      <c r="G5" s="17"/>
      <c r="H5" s="89" t="s">
        <v>61</v>
      </c>
      <c r="I5" s="89"/>
      <c r="J5" s="16"/>
      <c r="K5" s="17"/>
      <c r="L5" s="89" t="s">
        <v>49</v>
      </c>
      <c r="M5" s="89"/>
      <c r="N5" s="16"/>
      <c r="O5" s="17"/>
    </row>
    <row r="6" spans="1:15" s="8" customFormat="1" ht="15" thickTop="1">
      <c r="A6" s="92"/>
      <c r="B6" s="93"/>
      <c r="C6" s="18"/>
      <c r="D6" s="83" t="s">
        <v>52</v>
      </c>
      <c r="E6" s="90" t="s">
        <v>0</v>
      </c>
      <c r="F6" s="14"/>
      <c r="G6" s="12"/>
      <c r="H6" s="83" t="s">
        <v>52</v>
      </c>
      <c r="I6" s="90" t="s">
        <v>0</v>
      </c>
      <c r="J6" s="14"/>
      <c r="K6" s="12"/>
      <c r="L6" s="83" t="s">
        <v>52</v>
      </c>
      <c r="M6" s="90" t="s">
        <v>0</v>
      </c>
      <c r="N6" s="14"/>
      <c r="O6" s="12"/>
    </row>
    <row r="7" spans="1:15" s="8" customFormat="1" ht="15" thickBot="1">
      <c r="A7" s="92"/>
      <c r="B7" s="93"/>
      <c r="C7" s="19"/>
      <c r="D7" s="84"/>
      <c r="E7" s="91"/>
      <c r="F7" s="20" t="s">
        <v>58</v>
      </c>
      <c r="G7" s="12"/>
      <c r="H7" s="84"/>
      <c r="I7" s="91"/>
      <c r="J7" s="20" t="s">
        <v>58</v>
      </c>
      <c r="K7" s="12"/>
      <c r="L7" s="84"/>
      <c r="M7" s="91"/>
      <c r="N7" s="20" t="s">
        <v>58</v>
      </c>
      <c r="O7" s="12"/>
    </row>
    <row r="8" spans="1:15" ht="15.75" customHeight="1" thickTop="1" thickBot="1">
      <c r="A8" s="21"/>
      <c r="B8" s="22"/>
      <c r="C8" s="23"/>
      <c r="D8" s="24"/>
      <c r="E8" s="24"/>
      <c r="F8" s="14"/>
      <c r="G8" s="12"/>
      <c r="H8" s="24"/>
      <c r="I8" s="24"/>
      <c r="J8" s="14"/>
      <c r="K8" s="12"/>
      <c r="L8" s="24"/>
      <c r="M8" s="24"/>
      <c r="N8" s="14"/>
      <c r="O8" s="12"/>
    </row>
    <row r="9" spans="1:15" ht="15" thickBot="1">
      <c r="A9" s="104" t="s">
        <v>1</v>
      </c>
      <c r="B9" s="105"/>
      <c r="C9" s="26"/>
    </row>
    <row r="10" spans="1:15" ht="7.5" customHeight="1">
      <c r="A10" s="27"/>
      <c r="B10" s="26"/>
      <c r="C10" s="26"/>
    </row>
    <row r="11" spans="1:15" outlineLevel="1">
      <c r="A11" s="2">
        <v>7375285</v>
      </c>
      <c r="B11" s="3" t="s">
        <v>108</v>
      </c>
      <c r="C11" s="26"/>
      <c r="D11" s="28">
        <v>453119</v>
      </c>
      <c r="E11" s="29">
        <v>199682.52</v>
      </c>
      <c r="F11" s="30">
        <f t="shared" ref="F11:F19" si="0">E11-D11</f>
        <v>-253436.48</v>
      </c>
      <c r="G11" s="31"/>
      <c r="H11" s="32"/>
      <c r="I11" s="29"/>
      <c r="J11" s="30">
        <f t="shared" ref="J11:J18" si="1">I11-H11</f>
        <v>0</v>
      </c>
      <c r="K11" s="31"/>
      <c r="L11" s="32"/>
      <c r="M11" s="29"/>
      <c r="N11" s="30">
        <f t="shared" ref="N11:N19" si="2">M11-L11</f>
        <v>0</v>
      </c>
      <c r="O11" s="31"/>
    </row>
    <row r="12" spans="1:15" outlineLevel="1">
      <c r="A12" s="4" t="s">
        <v>53</v>
      </c>
      <c r="B12" s="3" t="s">
        <v>109</v>
      </c>
      <c r="C12" s="26"/>
      <c r="D12" s="28">
        <v>1890213</v>
      </c>
      <c r="E12" s="29">
        <v>1257836.04</v>
      </c>
      <c r="F12" s="30">
        <f t="shared" si="0"/>
        <v>-632376.96</v>
      </c>
      <c r="G12" s="31"/>
      <c r="H12" s="32"/>
      <c r="I12" s="29"/>
      <c r="J12" s="30">
        <f t="shared" si="1"/>
        <v>0</v>
      </c>
      <c r="K12" s="31"/>
      <c r="L12" s="32"/>
      <c r="M12" s="29"/>
      <c r="N12" s="30">
        <f t="shared" si="2"/>
        <v>0</v>
      </c>
      <c r="O12" s="31"/>
    </row>
    <row r="13" spans="1:15" outlineLevel="1">
      <c r="A13" s="5" t="s">
        <v>54</v>
      </c>
      <c r="B13" s="3" t="s">
        <v>110</v>
      </c>
      <c r="C13" s="26"/>
      <c r="D13" s="28">
        <v>998721</v>
      </c>
      <c r="E13" s="29">
        <v>761362.8</v>
      </c>
      <c r="F13" s="30">
        <f t="shared" si="0"/>
        <v>-237358.19999999995</v>
      </c>
      <c r="G13" s="31"/>
      <c r="H13" s="32"/>
      <c r="I13" s="29"/>
      <c r="J13" s="30">
        <f t="shared" si="1"/>
        <v>0</v>
      </c>
      <c r="K13" s="31"/>
      <c r="L13" s="32"/>
      <c r="M13" s="29"/>
      <c r="N13" s="30">
        <f t="shared" si="2"/>
        <v>0</v>
      </c>
      <c r="O13" s="31"/>
    </row>
    <row r="14" spans="1:15" outlineLevel="1">
      <c r="A14" s="6" t="s">
        <v>55</v>
      </c>
      <c r="B14" s="3" t="s">
        <v>111</v>
      </c>
      <c r="C14" s="26"/>
      <c r="D14" s="32">
        <v>0</v>
      </c>
      <c r="E14" s="29">
        <v>0</v>
      </c>
      <c r="F14" s="30">
        <f t="shared" si="0"/>
        <v>0</v>
      </c>
      <c r="G14" s="31"/>
      <c r="H14" s="32"/>
      <c r="I14" s="29"/>
      <c r="J14" s="30">
        <f t="shared" si="1"/>
        <v>0</v>
      </c>
      <c r="K14" s="31"/>
      <c r="L14" s="32"/>
      <c r="M14" s="29"/>
      <c r="N14" s="30">
        <f t="shared" si="2"/>
        <v>0</v>
      </c>
      <c r="O14" s="31"/>
    </row>
    <row r="15" spans="1:15" outlineLevel="1">
      <c r="A15" s="5" t="s">
        <v>56</v>
      </c>
      <c r="B15" s="3" t="s">
        <v>112</v>
      </c>
      <c r="C15" s="26"/>
      <c r="D15" s="32">
        <v>423116</v>
      </c>
      <c r="E15" s="29">
        <v>427630.99</v>
      </c>
      <c r="F15" s="30">
        <f t="shared" si="0"/>
        <v>4514.9899999999907</v>
      </c>
      <c r="G15" s="31"/>
      <c r="H15" s="32"/>
      <c r="I15" s="29"/>
      <c r="J15" s="30">
        <f t="shared" si="1"/>
        <v>0</v>
      </c>
      <c r="K15" s="31"/>
      <c r="L15" s="32"/>
      <c r="M15" s="29"/>
      <c r="N15" s="30">
        <f t="shared" si="2"/>
        <v>0</v>
      </c>
      <c r="O15" s="31"/>
    </row>
    <row r="16" spans="1:15" outlineLevel="1">
      <c r="A16" s="5" t="s">
        <v>57</v>
      </c>
      <c r="B16" s="3" t="s">
        <v>113</v>
      </c>
      <c r="C16" s="26"/>
      <c r="D16" s="32">
        <v>289320</v>
      </c>
      <c r="E16" s="29">
        <v>149512.80000000005</v>
      </c>
      <c r="F16" s="30">
        <f t="shared" si="0"/>
        <v>-139807.19999999995</v>
      </c>
      <c r="G16" s="31"/>
      <c r="H16" s="32"/>
      <c r="I16" s="29"/>
      <c r="J16" s="30">
        <f t="shared" si="1"/>
        <v>0</v>
      </c>
      <c r="K16" s="31"/>
      <c r="L16" s="32"/>
      <c r="M16" s="29"/>
      <c r="N16" s="30">
        <f t="shared" si="2"/>
        <v>0</v>
      </c>
      <c r="O16" s="31"/>
    </row>
    <row r="17" spans="1:15" outlineLevel="1">
      <c r="A17" s="5">
        <v>65500493542</v>
      </c>
      <c r="B17" s="3" t="s">
        <v>114</v>
      </c>
      <c r="C17" s="26"/>
      <c r="D17" s="32">
        <v>11211</v>
      </c>
      <c r="E17" s="29">
        <v>0</v>
      </c>
      <c r="F17" s="30">
        <f t="shared" si="0"/>
        <v>-11211</v>
      </c>
      <c r="G17" s="31"/>
      <c r="H17" s="32"/>
      <c r="I17" s="29"/>
      <c r="J17" s="30">
        <f t="shared" si="1"/>
        <v>0</v>
      </c>
      <c r="K17" s="31"/>
      <c r="L17" s="32"/>
      <c r="M17" s="29"/>
      <c r="N17" s="30">
        <f t="shared" si="2"/>
        <v>0</v>
      </c>
      <c r="O17" s="31"/>
    </row>
    <row r="18" spans="1:15" outlineLevel="1">
      <c r="A18" s="5">
        <v>101885782</v>
      </c>
      <c r="B18" s="3" t="s">
        <v>115</v>
      </c>
      <c r="C18" s="26"/>
      <c r="D18" s="32">
        <v>451221</v>
      </c>
      <c r="E18" s="29">
        <v>296008.29000000004</v>
      </c>
      <c r="F18" s="30">
        <f t="shared" si="0"/>
        <v>-155212.70999999996</v>
      </c>
      <c r="G18" s="31"/>
      <c r="H18" s="32"/>
      <c r="I18" s="29"/>
      <c r="J18" s="30">
        <f t="shared" si="1"/>
        <v>0</v>
      </c>
      <c r="K18" s="31"/>
      <c r="L18" s="32"/>
      <c r="M18" s="29"/>
      <c r="N18" s="30">
        <f t="shared" si="2"/>
        <v>0</v>
      </c>
      <c r="O18" s="31"/>
    </row>
    <row r="19" spans="1:15" outlineLevel="1">
      <c r="A19" s="33">
        <v>410884020101</v>
      </c>
      <c r="B19" s="3" t="s">
        <v>116</v>
      </c>
      <c r="C19" s="26"/>
      <c r="D19" s="32">
        <v>5778901</v>
      </c>
      <c r="E19" s="29">
        <v>5811446.6220000004</v>
      </c>
      <c r="F19" s="30">
        <f t="shared" si="0"/>
        <v>32545.62200000044</v>
      </c>
      <c r="G19" s="31"/>
      <c r="H19" s="32"/>
      <c r="I19" s="29"/>
      <c r="J19" s="30"/>
      <c r="K19" s="31"/>
      <c r="L19" s="32"/>
      <c r="M19" s="29"/>
      <c r="N19" s="30">
        <f t="shared" si="2"/>
        <v>0</v>
      </c>
      <c r="O19" s="31"/>
    </row>
    <row r="20" spans="1:15" outlineLevel="1">
      <c r="A20" s="34"/>
      <c r="B20" s="34"/>
      <c r="C20" s="26"/>
      <c r="D20" s="32"/>
      <c r="E20" s="29"/>
      <c r="F20" s="30"/>
      <c r="G20" s="31"/>
      <c r="H20" s="32"/>
      <c r="I20" s="29"/>
      <c r="J20" s="30"/>
      <c r="K20" s="31"/>
      <c r="L20" s="32"/>
      <c r="M20" s="29"/>
      <c r="N20" s="30"/>
      <c r="O20" s="31"/>
    </row>
    <row r="21" spans="1:15">
      <c r="A21" s="34"/>
      <c r="B21" s="34"/>
      <c r="C21" s="26"/>
      <c r="D21" s="31"/>
      <c r="E21" s="31"/>
      <c r="F21" s="30"/>
      <c r="G21" s="31"/>
      <c r="H21" s="31"/>
      <c r="I21" s="31"/>
      <c r="J21" s="30"/>
      <c r="K21" s="31"/>
      <c r="L21" s="31"/>
      <c r="M21" s="31"/>
      <c r="N21" s="30"/>
      <c r="O21" s="31"/>
    </row>
    <row r="22" spans="1:15" s="39" customFormat="1">
      <c r="A22" s="27"/>
      <c r="B22" s="35" t="s">
        <v>2</v>
      </c>
      <c r="C22" s="36"/>
      <c r="D22" s="37">
        <f>SUM(D11:D20)</f>
        <v>10295822</v>
      </c>
      <c r="E22" s="37">
        <f>SUM(E11:E20)</f>
        <v>8903480.0620000008</v>
      </c>
      <c r="F22" s="30">
        <f t="shared" ref="F22" si="3">E22-D22</f>
        <v>-1392341.9379999992</v>
      </c>
      <c r="G22" s="38"/>
      <c r="H22" s="37">
        <f>E177</f>
        <v>571058.67199999839</v>
      </c>
      <c r="I22" s="37">
        <f>SUM(I11:I20)</f>
        <v>0</v>
      </c>
      <c r="J22" s="30">
        <f t="shared" ref="J22" si="4">I22-H22</f>
        <v>-571058.67199999839</v>
      </c>
      <c r="K22" s="38"/>
      <c r="L22" s="37">
        <f>H177</f>
        <v>1172592.6719999984</v>
      </c>
      <c r="M22" s="37">
        <f>SUM(M11:M20)</f>
        <v>0</v>
      </c>
      <c r="N22" s="30">
        <f t="shared" ref="N22" si="5">M22-L22</f>
        <v>-1172592.6719999984</v>
      </c>
      <c r="O22" s="38"/>
    </row>
    <row r="23" spans="1:15" ht="15" thickBot="1">
      <c r="A23" s="27"/>
      <c r="B23" s="40"/>
      <c r="C23" s="26"/>
      <c r="D23" s="31"/>
      <c r="E23" s="31"/>
      <c r="F23" s="30"/>
      <c r="G23" s="31"/>
      <c r="H23" s="31"/>
      <c r="I23" s="31"/>
      <c r="J23" s="30"/>
      <c r="K23" s="31"/>
      <c r="L23" s="31"/>
      <c r="M23" s="31"/>
      <c r="N23" s="30"/>
      <c r="O23" s="31"/>
    </row>
    <row r="24" spans="1:15" ht="17" thickBot="1">
      <c r="A24" s="96" t="s">
        <v>3</v>
      </c>
      <c r="B24" s="97"/>
      <c r="C24" s="26"/>
      <c r="D24" s="31"/>
      <c r="E24" s="31"/>
      <c r="F24" s="30"/>
      <c r="G24" s="31"/>
      <c r="H24" s="31"/>
      <c r="I24" s="31"/>
      <c r="J24" s="30"/>
      <c r="K24" s="31"/>
      <c r="L24" s="31"/>
      <c r="M24" s="31"/>
      <c r="N24" s="30"/>
      <c r="O24" s="31"/>
    </row>
    <row r="25" spans="1:15" ht="7.5" customHeight="1">
      <c r="A25" s="27"/>
      <c r="B25" s="26"/>
      <c r="C25" s="26"/>
      <c r="D25" s="31"/>
      <c r="E25" s="31"/>
      <c r="F25" s="30"/>
      <c r="G25" s="31"/>
      <c r="H25" s="31"/>
      <c r="I25" s="31"/>
      <c r="J25" s="30"/>
      <c r="K25" s="31"/>
      <c r="L25" s="31"/>
      <c r="M25" s="31"/>
      <c r="N25" s="30"/>
      <c r="O25" s="31"/>
    </row>
    <row r="26" spans="1:15">
      <c r="A26" s="98" t="s">
        <v>102</v>
      </c>
      <c r="B26" s="98"/>
      <c r="C26" s="41"/>
      <c r="D26" s="42"/>
      <c r="E26" s="42"/>
      <c r="F26" s="30"/>
      <c r="G26" s="31"/>
      <c r="H26" s="31"/>
      <c r="I26" s="42"/>
      <c r="J26" s="30"/>
      <c r="K26" s="31"/>
      <c r="L26" s="31"/>
      <c r="M26" s="42"/>
      <c r="N26" s="30"/>
      <c r="O26" s="31"/>
    </row>
    <row r="28" spans="1:15" s="8" customFormat="1">
      <c r="A28" s="43"/>
      <c r="B28" s="44" t="s">
        <v>62</v>
      </c>
      <c r="C28" s="45"/>
      <c r="D28" s="46">
        <v>3632665.6100000003</v>
      </c>
      <c r="E28" s="29">
        <v>4124701</v>
      </c>
      <c r="F28" s="30">
        <f t="shared" ref="F28:F37" si="6">E28-D28</f>
        <v>492035.38999999966</v>
      </c>
      <c r="G28" s="1"/>
      <c r="H28" s="46">
        <v>6141150</v>
      </c>
      <c r="I28" s="29">
        <v>0</v>
      </c>
      <c r="J28" s="30">
        <f t="shared" ref="J28:J37" si="7">I28-H28</f>
        <v>-6141150</v>
      </c>
      <c r="K28" s="1"/>
      <c r="L28" s="46">
        <v>3833139</v>
      </c>
      <c r="M28" s="29">
        <v>0</v>
      </c>
      <c r="N28" s="30">
        <f t="shared" ref="N28:N37" si="8">M28-L28</f>
        <v>-3833139</v>
      </c>
      <c r="O28" s="1"/>
    </row>
    <row r="29" spans="1:15" s="8" customFormat="1">
      <c r="A29" s="43"/>
      <c r="B29" s="44" t="s">
        <v>63</v>
      </c>
      <c r="C29" s="45"/>
      <c r="D29" s="46">
        <v>4920</v>
      </c>
      <c r="E29" s="29">
        <v>4520</v>
      </c>
      <c r="F29" s="30">
        <f t="shared" si="6"/>
        <v>-400</v>
      </c>
      <c r="G29" s="1"/>
      <c r="H29" s="46">
        <v>4000</v>
      </c>
      <c r="I29" s="29">
        <v>0</v>
      </c>
      <c r="J29" s="30">
        <f t="shared" si="7"/>
        <v>-4000</v>
      </c>
      <c r="K29" s="31"/>
      <c r="L29" s="46">
        <v>792553</v>
      </c>
      <c r="M29" s="29">
        <v>0</v>
      </c>
      <c r="N29" s="30">
        <f t="shared" si="8"/>
        <v>-792553</v>
      </c>
      <c r="O29" s="1"/>
    </row>
    <row r="30" spans="1:15" s="8" customFormat="1">
      <c r="A30" s="43"/>
      <c r="B30" s="44" t="s">
        <v>64</v>
      </c>
      <c r="C30" s="45"/>
      <c r="D30" s="46">
        <v>1436789</v>
      </c>
      <c r="E30" s="29">
        <v>0</v>
      </c>
      <c r="F30" s="30">
        <f t="shared" si="6"/>
        <v>-1436789</v>
      </c>
      <c r="G30" s="31"/>
      <c r="H30" s="46"/>
      <c r="I30" s="29">
        <v>0</v>
      </c>
      <c r="J30" s="30">
        <f t="shared" si="7"/>
        <v>0</v>
      </c>
      <c r="K30" s="31"/>
      <c r="L30" s="46">
        <v>1436789</v>
      </c>
      <c r="M30" s="29">
        <v>0</v>
      </c>
      <c r="N30" s="30">
        <f t="shared" si="8"/>
        <v>-1436789</v>
      </c>
      <c r="O30" s="31"/>
    </row>
    <row r="31" spans="1:15" s="8" customFormat="1">
      <c r="A31" s="43"/>
      <c r="B31" s="44" t="s">
        <v>65</v>
      </c>
      <c r="C31" s="45"/>
      <c r="D31" s="46">
        <v>2767890</v>
      </c>
      <c r="E31" s="29">
        <v>567800</v>
      </c>
      <c r="F31" s="30">
        <f t="shared" si="6"/>
        <v>-2200090</v>
      </c>
      <c r="G31" s="31"/>
      <c r="H31" s="46"/>
      <c r="I31" s="29">
        <v>0</v>
      </c>
      <c r="J31" s="30">
        <f t="shared" si="7"/>
        <v>0</v>
      </c>
      <c r="K31" s="31"/>
      <c r="L31" s="46"/>
      <c r="M31" s="29">
        <v>0</v>
      </c>
      <c r="N31" s="30">
        <f t="shared" si="8"/>
        <v>0</v>
      </c>
      <c r="O31" s="31"/>
    </row>
    <row r="32" spans="1:15" s="8" customFormat="1">
      <c r="A32" s="43"/>
      <c r="B32" s="44" t="s">
        <v>66</v>
      </c>
      <c r="C32" s="45"/>
      <c r="D32" s="46">
        <v>0</v>
      </c>
      <c r="E32" s="29">
        <v>0</v>
      </c>
      <c r="F32" s="30">
        <f t="shared" si="6"/>
        <v>0</v>
      </c>
      <c r="G32" s="31"/>
      <c r="H32" s="46"/>
      <c r="I32" s="29">
        <v>0</v>
      </c>
      <c r="J32" s="30">
        <f t="shared" si="7"/>
        <v>0</v>
      </c>
      <c r="K32" s="31"/>
      <c r="L32" s="46">
        <v>77890</v>
      </c>
      <c r="M32" s="29">
        <v>0</v>
      </c>
      <c r="N32" s="30">
        <f t="shared" si="8"/>
        <v>-77890</v>
      </c>
      <c r="O32" s="31"/>
    </row>
    <row r="33" spans="1:15" s="8" customFormat="1">
      <c r="A33" s="43"/>
      <c r="B33" s="44" t="s">
        <v>67</v>
      </c>
      <c r="C33" s="45"/>
      <c r="D33" s="47">
        <v>0</v>
      </c>
      <c r="E33" s="29">
        <v>0</v>
      </c>
      <c r="F33" s="30">
        <f t="shared" si="6"/>
        <v>0</v>
      </c>
      <c r="G33" s="31"/>
      <c r="H33" s="46"/>
      <c r="I33" s="29">
        <v>0</v>
      </c>
      <c r="J33" s="30">
        <f t="shared" si="7"/>
        <v>0</v>
      </c>
      <c r="K33" s="31"/>
      <c r="L33" s="46"/>
      <c r="M33" s="29">
        <v>0</v>
      </c>
      <c r="N33" s="30">
        <f t="shared" si="8"/>
        <v>0</v>
      </c>
      <c r="O33" s="31"/>
    </row>
    <row r="34" spans="1:15" s="8" customFormat="1">
      <c r="A34" s="43"/>
      <c r="B34" s="44" t="s">
        <v>68</v>
      </c>
      <c r="C34" s="45"/>
      <c r="D34" s="46">
        <v>896755</v>
      </c>
      <c r="E34" s="29">
        <v>0</v>
      </c>
      <c r="F34" s="30">
        <f t="shared" si="6"/>
        <v>-896755</v>
      </c>
      <c r="G34" s="1"/>
      <c r="H34" s="46">
        <v>896755</v>
      </c>
      <c r="I34" s="29">
        <v>0</v>
      </c>
      <c r="J34" s="30">
        <f t="shared" si="7"/>
        <v>-896755</v>
      </c>
      <c r="K34" s="31"/>
      <c r="L34" s="46"/>
      <c r="M34" s="29">
        <v>0</v>
      </c>
      <c r="N34" s="30">
        <f t="shared" si="8"/>
        <v>0</v>
      </c>
      <c r="O34" s="31"/>
    </row>
    <row r="35" spans="1:15" s="8" customFormat="1">
      <c r="A35" s="43"/>
      <c r="B35" s="44" t="s">
        <v>69</v>
      </c>
      <c r="C35" s="45"/>
      <c r="D35" s="46">
        <v>0</v>
      </c>
      <c r="E35" s="29">
        <v>0</v>
      </c>
      <c r="F35" s="30">
        <f t="shared" si="6"/>
        <v>0</v>
      </c>
      <c r="G35" s="31"/>
      <c r="H35" s="46"/>
      <c r="I35" s="29">
        <v>0</v>
      </c>
      <c r="J35" s="30">
        <f t="shared" si="7"/>
        <v>0</v>
      </c>
      <c r="K35" s="31"/>
      <c r="L35" s="46">
        <v>341338</v>
      </c>
      <c r="M35" s="29">
        <v>0</v>
      </c>
      <c r="N35" s="30">
        <f t="shared" si="8"/>
        <v>-341338</v>
      </c>
      <c r="O35" s="31"/>
    </row>
    <row r="36" spans="1:15" s="8" customFormat="1">
      <c r="A36" s="43"/>
      <c r="B36" s="44" t="s">
        <v>70</v>
      </c>
      <c r="C36" s="45"/>
      <c r="D36" s="47">
        <v>0</v>
      </c>
      <c r="E36" s="29">
        <v>87990</v>
      </c>
      <c r="F36" s="30">
        <f t="shared" si="6"/>
        <v>87990</v>
      </c>
      <c r="G36" s="31"/>
      <c r="H36" s="46"/>
      <c r="I36" s="29">
        <v>0</v>
      </c>
      <c r="J36" s="30">
        <f t="shared" si="7"/>
        <v>0</v>
      </c>
      <c r="K36" s="31"/>
      <c r="L36" s="46"/>
      <c r="M36" s="29">
        <v>0</v>
      </c>
      <c r="N36" s="30">
        <f t="shared" si="8"/>
        <v>0</v>
      </c>
      <c r="O36" s="31"/>
    </row>
    <row r="37" spans="1:15" s="8" customFormat="1">
      <c r="A37" s="43"/>
      <c r="B37" s="44" t="s">
        <v>71</v>
      </c>
      <c r="C37" s="45"/>
      <c r="D37" s="46">
        <v>0</v>
      </c>
      <c r="E37" s="29">
        <v>0</v>
      </c>
      <c r="F37" s="30">
        <f t="shared" si="6"/>
        <v>0</v>
      </c>
      <c r="G37" s="31"/>
      <c r="H37" s="46"/>
      <c r="I37" s="29">
        <v>0</v>
      </c>
      <c r="J37" s="30">
        <f t="shared" si="7"/>
        <v>0</v>
      </c>
      <c r="K37" s="31"/>
      <c r="L37" s="46"/>
      <c r="M37" s="29">
        <v>0</v>
      </c>
      <c r="N37" s="30">
        <f t="shared" si="8"/>
        <v>0</v>
      </c>
      <c r="O37" s="31"/>
    </row>
    <row r="38" spans="1:15" s="8" customFormat="1" ht="7.5" customHeight="1">
      <c r="A38" s="48"/>
      <c r="B38" s="45"/>
      <c r="C38" s="45"/>
      <c r="D38" s="31"/>
      <c r="E38" s="31"/>
      <c r="F38" s="30"/>
      <c r="G38" s="31"/>
      <c r="H38" s="31"/>
      <c r="I38" s="31"/>
      <c r="J38" s="30"/>
      <c r="K38" s="31"/>
      <c r="L38" s="31"/>
      <c r="M38" s="31"/>
      <c r="N38" s="30"/>
      <c r="O38" s="31"/>
    </row>
    <row r="39" spans="1:15" s="8" customFormat="1">
      <c r="A39" s="99" t="s">
        <v>101</v>
      </c>
      <c r="B39" s="99"/>
      <c r="C39" s="43"/>
      <c r="D39" s="49"/>
      <c r="E39" s="31"/>
      <c r="F39" s="30"/>
      <c r="G39" s="31"/>
      <c r="H39" s="31"/>
      <c r="I39" s="31"/>
      <c r="J39" s="30"/>
      <c r="K39" s="31"/>
      <c r="L39" s="31"/>
      <c r="M39" s="31"/>
      <c r="N39" s="30"/>
      <c r="O39" s="31"/>
    </row>
    <row r="40" spans="1:15" s="8" customFormat="1" ht="7.5" customHeight="1">
      <c r="A40" s="48"/>
      <c r="B40" s="45"/>
      <c r="C40" s="45"/>
      <c r="D40" s="31"/>
      <c r="E40" s="31"/>
      <c r="F40" s="30"/>
      <c r="G40" s="31"/>
      <c r="H40" s="31"/>
      <c r="I40" s="31"/>
      <c r="J40" s="30"/>
      <c r="K40" s="31"/>
      <c r="L40" s="31"/>
      <c r="M40" s="31"/>
      <c r="N40" s="30"/>
      <c r="O40" s="31"/>
    </row>
    <row r="41" spans="1:15" s="8" customFormat="1">
      <c r="A41" s="43"/>
      <c r="B41" s="50">
        <v>111</v>
      </c>
      <c r="C41" s="45"/>
      <c r="D41" s="46">
        <v>2211059.5099999998</v>
      </c>
      <c r="E41" s="29">
        <v>1211051</v>
      </c>
      <c r="F41" s="30">
        <f t="shared" ref="F41:F48" si="9">E41-D41</f>
        <v>-1000008.5099999998</v>
      </c>
      <c r="G41" s="1"/>
      <c r="H41" s="46">
        <v>1000009</v>
      </c>
      <c r="I41" s="29">
        <v>0</v>
      </c>
      <c r="J41" s="30">
        <f t="shared" ref="J41:J48" si="10">I41-H41</f>
        <v>-1000009</v>
      </c>
      <c r="K41" s="1"/>
      <c r="L41" s="46"/>
      <c r="M41" s="29">
        <v>0</v>
      </c>
      <c r="N41" s="30">
        <f t="shared" ref="N41:N48" si="11">M41-L41</f>
        <v>0</v>
      </c>
      <c r="O41" s="1"/>
    </row>
    <row r="42" spans="1:15" s="8" customFormat="1">
      <c r="A42" s="43"/>
      <c r="B42" s="50" t="s">
        <v>72</v>
      </c>
      <c r="C42" s="45"/>
      <c r="D42" s="46">
        <v>0</v>
      </c>
      <c r="E42" s="29">
        <v>0</v>
      </c>
      <c r="F42" s="30">
        <f t="shared" si="9"/>
        <v>0</v>
      </c>
      <c r="G42" s="31"/>
      <c r="H42" s="46"/>
      <c r="I42" s="29">
        <v>0</v>
      </c>
      <c r="J42" s="30">
        <f t="shared" si="10"/>
        <v>0</v>
      </c>
      <c r="K42" s="31"/>
      <c r="L42" s="46"/>
      <c r="M42" s="29">
        <v>0</v>
      </c>
      <c r="N42" s="30">
        <f t="shared" si="11"/>
        <v>0</v>
      </c>
      <c r="O42" s="31"/>
    </row>
    <row r="43" spans="1:15" s="8" customFormat="1">
      <c r="A43" s="43"/>
      <c r="B43" s="50" t="s">
        <v>73</v>
      </c>
      <c r="C43" s="45"/>
      <c r="D43" s="46">
        <v>566</v>
      </c>
      <c r="E43" s="29">
        <v>1980655</v>
      </c>
      <c r="F43" s="30">
        <f t="shared" si="9"/>
        <v>1980089</v>
      </c>
      <c r="G43" s="31"/>
      <c r="H43" s="46"/>
      <c r="I43" s="29">
        <v>0</v>
      </c>
      <c r="J43" s="30">
        <f t="shared" si="10"/>
        <v>0</v>
      </c>
      <c r="K43" s="31"/>
      <c r="L43" s="46">
        <v>667330</v>
      </c>
      <c r="M43" s="29">
        <v>0</v>
      </c>
      <c r="N43" s="30">
        <f t="shared" si="11"/>
        <v>-667330</v>
      </c>
      <c r="O43" s="31"/>
    </row>
    <row r="44" spans="1:15" s="8" customFormat="1">
      <c r="A44" s="43"/>
      <c r="B44" s="50" t="s">
        <v>74</v>
      </c>
      <c r="C44" s="45"/>
      <c r="D44" s="46">
        <v>0</v>
      </c>
      <c r="E44" s="29">
        <v>0</v>
      </c>
      <c r="F44" s="30">
        <f t="shared" si="9"/>
        <v>0</v>
      </c>
      <c r="G44" s="31"/>
      <c r="H44" s="46"/>
      <c r="I44" s="29">
        <v>0</v>
      </c>
      <c r="J44" s="30">
        <f t="shared" si="10"/>
        <v>0</v>
      </c>
      <c r="K44" s="31"/>
      <c r="L44" s="46"/>
      <c r="M44" s="29">
        <v>0</v>
      </c>
      <c r="N44" s="30">
        <f t="shared" si="11"/>
        <v>0</v>
      </c>
      <c r="O44" s="31"/>
    </row>
    <row r="45" spans="1:15" s="8" customFormat="1">
      <c r="A45" s="43"/>
      <c r="B45" s="50" t="s">
        <v>75</v>
      </c>
      <c r="C45" s="45"/>
      <c r="D45" s="46">
        <v>0</v>
      </c>
      <c r="E45" s="29">
        <v>0</v>
      </c>
      <c r="F45" s="30">
        <f t="shared" si="9"/>
        <v>0</v>
      </c>
      <c r="G45" s="31"/>
      <c r="H45" s="46"/>
      <c r="I45" s="29">
        <v>0</v>
      </c>
      <c r="J45" s="30">
        <f t="shared" si="10"/>
        <v>0</v>
      </c>
      <c r="K45" s="31"/>
      <c r="L45" s="46"/>
      <c r="M45" s="29">
        <v>0</v>
      </c>
      <c r="N45" s="30">
        <f t="shared" si="11"/>
        <v>0</v>
      </c>
      <c r="O45" s="31"/>
    </row>
    <row r="46" spans="1:15" s="8" customFormat="1">
      <c r="A46" s="43"/>
      <c r="B46" s="50" t="s">
        <v>76</v>
      </c>
      <c r="C46" s="45"/>
      <c r="D46" s="46">
        <v>0</v>
      </c>
      <c r="E46" s="29">
        <v>0</v>
      </c>
      <c r="F46" s="30">
        <f t="shared" si="9"/>
        <v>0</v>
      </c>
      <c r="G46" s="31"/>
      <c r="H46" s="46">
        <v>890000</v>
      </c>
      <c r="I46" s="29">
        <v>0</v>
      </c>
      <c r="J46" s="30">
        <f t="shared" si="10"/>
        <v>-890000</v>
      </c>
      <c r="K46" s="31"/>
      <c r="L46" s="46">
        <v>896556</v>
      </c>
      <c r="M46" s="29">
        <v>0</v>
      </c>
      <c r="N46" s="30">
        <f t="shared" si="11"/>
        <v>-896556</v>
      </c>
      <c r="O46" s="31"/>
    </row>
    <row r="47" spans="1:15" s="8" customFormat="1">
      <c r="A47" s="43"/>
      <c r="B47" s="50" t="s">
        <v>77</v>
      </c>
      <c r="C47" s="45"/>
      <c r="D47" s="46">
        <v>0</v>
      </c>
      <c r="E47" s="29">
        <v>0</v>
      </c>
      <c r="F47" s="30">
        <f t="shared" si="9"/>
        <v>0</v>
      </c>
      <c r="G47" s="31"/>
      <c r="H47" s="46"/>
      <c r="I47" s="29">
        <v>0</v>
      </c>
      <c r="J47" s="30">
        <f t="shared" si="10"/>
        <v>0</v>
      </c>
      <c r="K47" s="31"/>
      <c r="L47" s="46">
        <v>355476</v>
      </c>
      <c r="M47" s="29">
        <v>0</v>
      </c>
      <c r="N47" s="30">
        <f t="shared" si="11"/>
        <v>-355476</v>
      </c>
      <c r="O47" s="31"/>
    </row>
    <row r="48" spans="1:15" s="8" customFormat="1">
      <c r="A48" s="43"/>
      <c r="B48" s="50" t="s">
        <v>78</v>
      </c>
      <c r="C48" s="45"/>
      <c r="D48" s="46">
        <v>0</v>
      </c>
      <c r="E48" s="29">
        <v>0</v>
      </c>
      <c r="F48" s="30">
        <f t="shared" si="9"/>
        <v>0</v>
      </c>
      <c r="G48" s="31"/>
      <c r="H48" s="46"/>
      <c r="I48" s="29">
        <v>0</v>
      </c>
      <c r="J48" s="30">
        <f t="shared" si="10"/>
        <v>0</v>
      </c>
      <c r="K48" s="31"/>
      <c r="L48" s="46"/>
      <c r="M48" s="29">
        <v>0</v>
      </c>
      <c r="N48" s="30">
        <f t="shared" si="11"/>
        <v>0</v>
      </c>
      <c r="O48" s="31"/>
    </row>
    <row r="49" spans="1:15" s="8" customFormat="1" ht="7.5" customHeight="1">
      <c r="A49" s="48"/>
      <c r="B49" s="45"/>
      <c r="C49" s="45"/>
      <c r="D49" s="31"/>
      <c r="E49" s="31"/>
      <c r="F49" s="30"/>
      <c r="G49" s="31"/>
      <c r="H49" s="31"/>
      <c r="I49" s="31"/>
      <c r="J49" s="30"/>
      <c r="K49" s="31"/>
      <c r="L49" s="31"/>
      <c r="M49" s="31"/>
      <c r="N49" s="30"/>
      <c r="O49" s="31"/>
    </row>
    <row r="50" spans="1:15" s="8" customFormat="1">
      <c r="A50" s="100" t="s">
        <v>79</v>
      </c>
      <c r="B50" s="100"/>
      <c r="C50" s="43"/>
      <c r="D50" s="31"/>
      <c r="E50" s="31"/>
      <c r="F50" s="30"/>
      <c r="G50" s="31"/>
      <c r="H50" s="31"/>
      <c r="I50" s="31"/>
      <c r="J50" s="30"/>
      <c r="K50" s="31"/>
      <c r="L50" s="31"/>
      <c r="M50" s="31"/>
      <c r="N50" s="30"/>
      <c r="O50" s="31"/>
    </row>
    <row r="51" spans="1:15" s="8" customFormat="1" ht="7.5" customHeight="1">
      <c r="A51" s="48"/>
      <c r="B51" s="45"/>
      <c r="C51" s="45"/>
      <c r="D51" s="31"/>
      <c r="E51" s="31"/>
      <c r="F51" s="30"/>
      <c r="G51" s="31"/>
      <c r="H51" s="31"/>
      <c r="I51" s="31"/>
      <c r="J51" s="30"/>
      <c r="K51" s="31"/>
      <c r="L51" s="31"/>
      <c r="M51" s="31"/>
      <c r="N51" s="30"/>
      <c r="O51" s="31"/>
    </row>
    <row r="52" spans="1:15" s="8" customFormat="1">
      <c r="A52" s="43"/>
      <c r="B52" s="44" t="s">
        <v>80</v>
      </c>
      <c r="C52" s="45"/>
      <c r="D52" s="46">
        <v>0</v>
      </c>
      <c r="E52" s="29">
        <v>0</v>
      </c>
      <c r="F52" s="30">
        <f t="shared" ref="F52:F54" si="12">E52-D52</f>
        <v>0</v>
      </c>
      <c r="G52" s="1"/>
      <c r="H52" s="46"/>
      <c r="I52" s="29">
        <v>0</v>
      </c>
      <c r="J52" s="30">
        <f t="shared" ref="J52:J54" si="13">I52-H52</f>
        <v>0</v>
      </c>
      <c r="K52" s="1"/>
      <c r="L52" s="46"/>
      <c r="M52" s="29">
        <v>0</v>
      </c>
      <c r="N52" s="30">
        <f t="shared" ref="N52:N54" si="14">M52-L52</f>
        <v>0</v>
      </c>
      <c r="O52" s="1"/>
    </row>
    <row r="53" spans="1:15" s="8" customFormat="1">
      <c r="A53" s="43"/>
      <c r="B53" s="44" t="s">
        <v>81</v>
      </c>
      <c r="C53" s="45"/>
      <c r="D53" s="46">
        <v>0</v>
      </c>
      <c r="E53" s="29">
        <v>0</v>
      </c>
      <c r="F53" s="30">
        <f t="shared" si="12"/>
        <v>0</v>
      </c>
      <c r="G53" s="31"/>
      <c r="H53" s="46">
        <v>119135</v>
      </c>
      <c r="I53" s="29">
        <v>0</v>
      </c>
      <c r="J53" s="30">
        <f t="shared" si="13"/>
        <v>-119135</v>
      </c>
      <c r="K53" s="31"/>
      <c r="L53" s="46">
        <v>10000</v>
      </c>
      <c r="M53" s="29">
        <v>0</v>
      </c>
      <c r="N53" s="30">
        <f t="shared" si="14"/>
        <v>-10000</v>
      </c>
      <c r="O53" s="31"/>
    </row>
    <row r="54" spans="1:15" s="8" customFormat="1">
      <c r="A54" s="43"/>
      <c r="B54" s="44" t="s">
        <v>82</v>
      </c>
      <c r="C54" s="45"/>
      <c r="D54" s="46">
        <v>34571.119999999995</v>
      </c>
      <c r="E54" s="29">
        <v>34571.119999999995</v>
      </c>
      <c r="F54" s="30">
        <f t="shared" si="12"/>
        <v>0</v>
      </c>
      <c r="G54" s="1"/>
      <c r="H54" s="46">
        <v>35000</v>
      </c>
      <c r="I54" s="29">
        <v>0</v>
      </c>
      <c r="J54" s="30">
        <f t="shared" si="13"/>
        <v>-35000</v>
      </c>
      <c r="K54" s="1"/>
      <c r="L54" s="46">
        <v>110000</v>
      </c>
      <c r="M54" s="29">
        <v>0</v>
      </c>
      <c r="N54" s="30">
        <f t="shared" si="14"/>
        <v>-110000</v>
      </c>
      <c r="O54" s="1"/>
    </row>
    <row r="55" spans="1:15" s="8" customFormat="1" ht="7.5" customHeight="1" thickBot="1">
      <c r="A55" s="48"/>
      <c r="B55" s="45"/>
      <c r="C55" s="45"/>
      <c r="D55" s="31"/>
      <c r="E55" s="31"/>
      <c r="F55" s="30"/>
      <c r="G55" s="31"/>
      <c r="H55" s="31"/>
      <c r="I55" s="31"/>
      <c r="J55" s="30"/>
      <c r="K55" s="31"/>
      <c r="L55" s="31"/>
      <c r="M55" s="31"/>
      <c r="N55" s="30"/>
      <c r="O55" s="31"/>
    </row>
    <row r="56" spans="1:15" ht="17" thickBot="1">
      <c r="A56" s="96" t="s">
        <v>104</v>
      </c>
      <c r="B56" s="97"/>
      <c r="C56" s="26"/>
      <c r="D56" s="31"/>
      <c r="E56" s="31"/>
      <c r="F56" s="30"/>
      <c r="G56" s="31"/>
      <c r="H56" s="31"/>
      <c r="I56" s="31"/>
      <c r="J56" s="30"/>
      <c r="K56" s="31"/>
      <c r="L56" s="31"/>
      <c r="M56" s="31"/>
      <c r="N56" s="30"/>
      <c r="O56" s="31"/>
    </row>
    <row r="57" spans="1:15" ht="7.5" customHeight="1">
      <c r="A57" s="27"/>
      <c r="B57" s="26"/>
      <c r="C57" s="26"/>
      <c r="D57" s="31"/>
      <c r="E57" s="31"/>
      <c r="F57" s="30"/>
      <c r="G57" s="31"/>
      <c r="H57" s="31"/>
      <c r="I57" s="31"/>
      <c r="J57" s="30"/>
      <c r="K57" s="31"/>
      <c r="L57" s="31"/>
      <c r="M57" s="31"/>
      <c r="N57" s="30"/>
      <c r="O57" s="31"/>
    </row>
    <row r="58" spans="1:15" s="8" customFormat="1">
      <c r="A58" s="43"/>
      <c r="B58" s="44" t="s">
        <v>83</v>
      </c>
      <c r="C58" s="45"/>
      <c r="D58" s="46">
        <v>796000</v>
      </c>
      <c r="E58" s="29">
        <v>796881.16999999993</v>
      </c>
      <c r="F58" s="30">
        <f t="shared" ref="F58:F60" si="15">E58-D58</f>
        <v>881.16999999992549</v>
      </c>
      <c r="G58" s="1"/>
      <c r="H58" s="46"/>
      <c r="I58" s="29">
        <v>0</v>
      </c>
      <c r="J58" s="30">
        <f t="shared" ref="J58:J60" si="16">I58-H58</f>
        <v>0</v>
      </c>
      <c r="K58" s="1"/>
      <c r="L58" s="46"/>
      <c r="M58" s="29">
        <v>0</v>
      </c>
      <c r="N58" s="30">
        <f t="shared" ref="N58:N60" si="17">M58-L58</f>
        <v>0</v>
      </c>
      <c r="O58" s="1"/>
    </row>
    <row r="59" spans="1:15" s="8" customFormat="1">
      <c r="A59" s="43"/>
      <c r="B59" s="44" t="s">
        <v>84</v>
      </c>
      <c r="C59" s="45"/>
      <c r="D59" s="46">
        <v>0</v>
      </c>
      <c r="E59" s="29">
        <v>0</v>
      </c>
      <c r="F59" s="30">
        <f t="shared" si="15"/>
        <v>0</v>
      </c>
      <c r="G59" s="31"/>
      <c r="H59" s="46"/>
      <c r="I59" s="29">
        <v>0</v>
      </c>
      <c r="J59" s="30">
        <f t="shared" si="16"/>
        <v>0</v>
      </c>
      <c r="K59" s="31"/>
      <c r="L59" s="46"/>
      <c r="M59" s="29">
        <v>0</v>
      </c>
      <c r="N59" s="30">
        <f t="shared" si="17"/>
        <v>0</v>
      </c>
      <c r="O59" s="31"/>
    </row>
    <row r="60" spans="1:15" s="8" customFormat="1">
      <c r="A60" s="43"/>
      <c r="B60" s="44" t="s">
        <v>85</v>
      </c>
      <c r="C60" s="45"/>
      <c r="D60" s="46">
        <v>0</v>
      </c>
      <c r="E60" s="29">
        <v>0</v>
      </c>
      <c r="F60" s="30">
        <f t="shared" si="15"/>
        <v>0</v>
      </c>
      <c r="G60" s="31"/>
      <c r="H60" s="46"/>
      <c r="I60" s="29">
        <v>0</v>
      </c>
      <c r="J60" s="30">
        <f t="shared" si="16"/>
        <v>0</v>
      </c>
      <c r="K60" s="1"/>
      <c r="L60" s="46"/>
      <c r="M60" s="29">
        <v>0</v>
      </c>
      <c r="N60" s="30">
        <f t="shared" si="17"/>
        <v>0</v>
      </c>
      <c r="O60" s="1"/>
    </row>
    <row r="61" spans="1:15" s="8" customFormat="1" ht="7.5" customHeight="1" thickBot="1">
      <c r="A61" s="48"/>
      <c r="B61" s="45"/>
      <c r="C61" s="45"/>
      <c r="D61" s="31"/>
      <c r="E61" s="31"/>
      <c r="F61" s="30"/>
      <c r="G61" s="31"/>
      <c r="H61" s="31"/>
      <c r="I61" s="31"/>
      <c r="J61" s="30"/>
      <c r="K61" s="31"/>
      <c r="L61" s="31"/>
      <c r="M61" s="31"/>
      <c r="N61" s="30"/>
      <c r="O61" s="31"/>
    </row>
    <row r="62" spans="1:15" ht="17" thickBot="1">
      <c r="A62" s="96" t="s">
        <v>4</v>
      </c>
      <c r="B62" s="97"/>
      <c r="C62" s="26"/>
      <c r="D62" s="31"/>
      <c r="E62" s="31"/>
      <c r="F62" s="30"/>
      <c r="G62" s="31"/>
      <c r="H62" s="31"/>
      <c r="I62" s="31"/>
      <c r="J62" s="30"/>
      <c r="K62" s="31"/>
      <c r="L62" s="31"/>
      <c r="M62" s="31"/>
      <c r="N62" s="30"/>
      <c r="O62" s="31"/>
    </row>
    <row r="63" spans="1:15" ht="7.5" customHeight="1">
      <c r="A63" s="27"/>
      <c r="B63" s="26"/>
      <c r="C63" s="26"/>
      <c r="D63" s="31"/>
      <c r="E63" s="31"/>
      <c r="F63" s="30"/>
      <c r="G63" s="31"/>
      <c r="H63" s="31"/>
      <c r="I63" s="31"/>
      <c r="J63" s="30"/>
      <c r="K63" s="31"/>
      <c r="L63" s="31"/>
      <c r="M63" s="31"/>
      <c r="N63" s="30"/>
      <c r="O63" s="31"/>
    </row>
    <row r="64" spans="1:15" s="8" customFormat="1">
      <c r="A64" s="43"/>
      <c r="B64" s="44" t="s">
        <v>83</v>
      </c>
      <c r="C64" s="45"/>
      <c r="D64" s="46">
        <v>0</v>
      </c>
      <c r="E64" s="29">
        <v>789000</v>
      </c>
      <c r="F64" s="30">
        <f t="shared" ref="F64:F68" si="18">E64-D64</f>
        <v>789000</v>
      </c>
      <c r="G64" s="31"/>
      <c r="H64" s="46"/>
      <c r="I64" s="29">
        <v>0</v>
      </c>
      <c r="J64" s="30">
        <f t="shared" ref="J64:J68" si="19">I64-H64</f>
        <v>0</v>
      </c>
      <c r="K64" s="31"/>
      <c r="L64" s="46"/>
      <c r="M64" s="29">
        <v>0</v>
      </c>
      <c r="N64" s="30">
        <f t="shared" ref="N64:N68" si="20">M64-L64</f>
        <v>0</v>
      </c>
      <c r="O64" s="31"/>
    </row>
    <row r="65" spans="1:15" s="8" customFormat="1">
      <c r="A65" s="43"/>
      <c r="B65" s="44" t="s">
        <v>83</v>
      </c>
      <c r="C65" s="45"/>
      <c r="D65" s="46">
        <v>0</v>
      </c>
      <c r="E65" s="29">
        <v>0</v>
      </c>
      <c r="F65" s="30">
        <f t="shared" si="18"/>
        <v>0</v>
      </c>
      <c r="G65" s="31"/>
      <c r="H65" s="46"/>
      <c r="I65" s="29">
        <v>0</v>
      </c>
      <c r="J65" s="30">
        <f t="shared" si="19"/>
        <v>0</v>
      </c>
      <c r="K65" s="31"/>
      <c r="L65" s="46"/>
      <c r="M65" s="29">
        <v>0</v>
      </c>
      <c r="N65" s="30">
        <f t="shared" si="20"/>
        <v>0</v>
      </c>
      <c r="O65" s="31"/>
    </row>
    <row r="66" spans="1:15" s="8" customFormat="1">
      <c r="A66" s="43"/>
      <c r="B66" s="44" t="s">
        <v>83</v>
      </c>
      <c r="C66" s="45"/>
      <c r="D66" s="46">
        <v>0</v>
      </c>
      <c r="E66" s="29">
        <v>0</v>
      </c>
      <c r="F66" s="30">
        <f t="shared" si="18"/>
        <v>0</v>
      </c>
      <c r="G66" s="31"/>
      <c r="H66" s="46"/>
      <c r="I66" s="29">
        <v>0</v>
      </c>
      <c r="J66" s="30">
        <f t="shared" si="19"/>
        <v>0</v>
      </c>
      <c r="K66" s="31"/>
      <c r="L66" s="46"/>
      <c r="M66" s="29">
        <v>0</v>
      </c>
      <c r="N66" s="30">
        <f t="shared" si="20"/>
        <v>0</v>
      </c>
      <c r="O66" s="31"/>
    </row>
    <row r="67" spans="1:15" s="8" customFormat="1">
      <c r="A67" s="43"/>
      <c r="B67" s="44" t="s">
        <v>83</v>
      </c>
      <c r="C67" s="45"/>
      <c r="D67" s="46">
        <v>0</v>
      </c>
      <c r="E67" s="29">
        <v>0</v>
      </c>
      <c r="F67" s="30">
        <f t="shared" si="18"/>
        <v>0</v>
      </c>
      <c r="G67" s="31"/>
      <c r="H67" s="46"/>
      <c r="I67" s="29">
        <v>0</v>
      </c>
      <c r="J67" s="30">
        <f t="shared" si="19"/>
        <v>0</v>
      </c>
      <c r="K67" s="31"/>
      <c r="L67" s="46"/>
      <c r="M67" s="29">
        <v>0</v>
      </c>
      <c r="N67" s="30">
        <f t="shared" si="20"/>
        <v>0</v>
      </c>
      <c r="O67" s="31"/>
    </row>
    <row r="68" spans="1:15" s="8" customFormat="1">
      <c r="A68" s="43"/>
      <c r="B68" s="44" t="s">
        <v>83</v>
      </c>
      <c r="C68" s="45"/>
      <c r="D68" s="46"/>
      <c r="E68" s="29"/>
      <c r="F68" s="30">
        <f t="shared" si="18"/>
        <v>0</v>
      </c>
      <c r="G68" s="31"/>
      <c r="H68" s="46"/>
      <c r="I68" s="29"/>
      <c r="J68" s="30">
        <f t="shared" si="19"/>
        <v>0</v>
      </c>
      <c r="K68" s="1"/>
      <c r="L68" s="46"/>
      <c r="M68" s="29"/>
      <c r="N68" s="30">
        <f t="shared" si="20"/>
        <v>0</v>
      </c>
      <c r="O68" s="31"/>
    </row>
    <row r="69" spans="1:15" ht="7.5" customHeight="1" thickBot="1">
      <c r="A69" s="27"/>
      <c r="B69" s="26"/>
      <c r="C69" s="26"/>
      <c r="D69" s="31"/>
      <c r="E69" s="31"/>
      <c r="F69" s="30"/>
      <c r="G69" s="31"/>
      <c r="H69" s="31"/>
      <c r="I69" s="31"/>
      <c r="J69" s="30"/>
      <c r="K69" s="1"/>
      <c r="L69" s="31"/>
      <c r="M69" s="31"/>
      <c r="N69" s="30"/>
      <c r="O69" s="31"/>
    </row>
    <row r="70" spans="1:15" s="56" customFormat="1" ht="15" thickBot="1">
      <c r="A70" s="51"/>
      <c r="B70" s="52" t="s">
        <v>107</v>
      </c>
      <c r="C70" s="53"/>
      <c r="D70" s="54">
        <f>SUM(D22:D69)</f>
        <v>22077038.239999998</v>
      </c>
      <c r="E70" s="55">
        <f>SUM(E22:E69)</f>
        <v>18500649.351999998</v>
      </c>
      <c r="F70" s="30">
        <f>E70-D70</f>
        <v>-3576388.8880000003</v>
      </c>
      <c r="G70" s="1"/>
      <c r="H70" s="54">
        <f>SUM(H22:H69)</f>
        <v>9657107.6719999984</v>
      </c>
      <c r="I70" s="55">
        <f>SUM(I22:I69)</f>
        <v>0</v>
      </c>
      <c r="J70" s="30">
        <f>I70-H70</f>
        <v>-9657107.6719999984</v>
      </c>
      <c r="K70" s="1"/>
      <c r="L70" s="54">
        <f>SUM(L22:L69)</f>
        <v>9693663.6719999984</v>
      </c>
      <c r="M70" s="55">
        <f>SUM(M22:M69)</f>
        <v>0</v>
      </c>
      <c r="N70" s="30">
        <f>M70-L70</f>
        <v>-9693663.6719999984</v>
      </c>
      <c r="O70" s="1"/>
    </row>
    <row r="71" spans="1:15" ht="21" customHeight="1" thickBot="1">
      <c r="A71" s="57"/>
      <c r="B71" s="57"/>
      <c r="C71" s="57"/>
      <c r="D71" s="58"/>
      <c r="E71" s="58"/>
      <c r="F71" s="59"/>
      <c r="G71" s="58"/>
      <c r="H71" s="58"/>
      <c r="I71" s="58"/>
      <c r="J71" s="59"/>
      <c r="K71" s="58"/>
      <c r="L71" s="58"/>
      <c r="M71" s="58"/>
      <c r="N71" s="59"/>
      <c r="O71" s="58"/>
    </row>
    <row r="72" spans="1:15" ht="21" customHeight="1" thickTop="1" thickBot="1">
      <c r="D72" s="31"/>
      <c r="E72" s="31"/>
      <c r="F72" s="30"/>
      <c r="G72" s="31"/>
      <c r="H72" s="31"/>
      <c r="I72" s="31"/>
      <c r="J72" s="30"/>
      <c r="K72" s="31"/>
      <c r="L72" s="31"/>
      <c r="M72" s="31"/>
      <c r="N72" s="30"/>
      <c r="O72" s="31"/>
    </row>
    <row r="73" spans="1:15" ht="15" thickBot="1">
      <c r="A73" s="102" t="s">
        <v>5</v>
      </c>
      <c r="B73" s="103"/>
      <c r="C73" s="26"/>
      <c r="D73" s="31"/>
      <c r="E73" s="31"/>
      <c r="F73" s="30"/>
      <c r="G73" s="31"/>
      <c r="H73" s="31"/>
      <c r="I73" s="31"/>
      <c r="J73" s="30"/>
      <c r="K73" s="31"/>
      <c r="L73" s="31"/>
      <c r="M73" s="31"/>
      <c r="N73" s="30"/>
      <c r="O73" s="31"/>
    </row>
    <row r="74" spans="1:15" ht="15" customHeight="1">
      <c r="A74" s="61"/>
      <c r="B74" s="61"/>
      <c r="C74" s="26"/>
      <c r="D74" s="31"/>
      <c r="E74" s="31"/>
      <c r="F74" s="30"/>
      <c r="G74" s="31"/>
      <c r="H74" s="31"/>
      <c r="I74" s="31"/>
      <c r="J74" s="30"/>
      <c r="K74" s="31"/>
      <c r="L74" s="31"/>
      <c r="M74" s="31"/>
      <c r="N74" s="30"/>
      <c r="O74" s="31"/>
    </row>
    <row r="75" spans="1:15" s="8" customFormat="1">
      <c r="A75" s="101" t="s">
        <v>86</v>
      </c>
      <c r="B75" s="101"/>
      <c r="C75" s="45"/>
      <c r="D75" s="31"/>
      <c r="E75" s="31"/>
      <c r="F75" s="30"/>
      <c r="G75" s="31"/>
      <c r="H75" s="31"/>
      <c r="I75" s="31"/>
      <c r="J75" s="30"/>
      <c r="K75" s="31"/>
      <c r="L75" s="31"/>
      <c r="M75" s="31"/>
      <c r="N75" s="30"/>
      <c r="O75" s="31"/>
    </row>
    <row r="76" spans="1:15" s="8" customFormat="1">
      <c r="A76" s="62"/>
      <c r="B76" s="3" t="s">
        <v>108</v>
      </c>
      <c r="C76" s="45"/>
      <c r="D76" s="46"/>
      <c r="E76" s="29"/>
      <c r="F76" s="30">
        <f>E76-D76</f>
        <v>0</v>
      </c>
      <c r="G76" s="1"/>
      <c r="H76" s="46"/>
      <c r="I76" s="29"/>
      <c r="J76" s="30">
        <f t="shared" ref="J76:J79" si="21">I76-H76</f>
        <v>0</v>
      </c>
      <c r="K76" s="1"/>
      <c r="L76" s="46"/>
      <c r="M76" s="29"/>
      <c r="N76" s="30">
        <f t="shared" ref="N76:N79" si="22">M76-L76</f>
        <v>0</v>
      </c>
      <c r="O76" s="1"/>
    </row>
    <row r="77" spans="1:15" s="8" customFormat="1">
      <c r="A77" s="62"/>
      <c r="B77" s="3" t="s">
        <v>109</v>
      </c>
      <c r="C77" s="45"/>
      <c r="D77" s="46">
        <v>8887396</v>
      </c>
      <c r="E77" s="29">
        <v>8887396</v>
      </c>
      <c r="F77" s="30">
        <f t="shared" ref="F77:F79" si="23">E77-D77</f>
        <v>0</v>
      </c>
      <c r="G77" s="1"/>
      <c r="H77" s="46"/>
      <c r="I77" s="29"/>
      <c r="J77" s="30">
        <f t="shared" si="21"/>
        <v>0</v>
      </c>
      <c r="K77" s="1"/>
      <c r="L77" s="46"/>
      <c r="M77" s="29"/>
      <c r="N77" s="30">
        <f t="shared" si="22"/>
        <v>0</v>
      </c>
      <c r="O77" s="1"/>
    </row>
    <row r="78" spans="1:15" s="8" customFormat="1">
      <c r="A78" s="62"/>
      <c r="B78" s="3" t="s">
        <v>110</v>
      </c>
      <c r="C78" s="45"/>
      <c r="D78" s="46">
        <v>5459658.6799999997</v>
      </c>
      <c r="E78" s="29">
        <v>5459658.6799999997</v>
      </c>
      <c r="F78" s="30">
        <f t="shared" si="23"/>
        <v>0</v>
      </c>
      <c r="G78" s="31"/>
      <c r="H78" s="46"/>
      <c r="I78" s="29"/>
      <c r="J78" s="30">
        <f t="shared" si="21"/>
        <v>0</v>
      </c>
      <c r="K78" s="31"/>
      <c r="L78" s="46"/>
      <c r="M78" s="29"/>
      <c r="N78" s="30">
        <f t="shared" si="22"/>
        <v>0</v>
      </c>
      <c r="O78" s="31"/>
    </row>
    <row r="79" spans="1:15" s="8" customFormat="1">
      <c r="A79" s="62"/>
      <c r="B79" s="3" t="s">
        <v>111</v>
      </c>
      <c r="C79" s="45"/>
      <c r="D79" s="46">
        <v>2000</v>
      </c>
      <c r="E79" s="29">
        <v>2000</v>
      </c>
      <c r="F79" s="30">
        <f t="shared" si="23"/>
        <v>0</v>
      </c>
      <c r="G79" s="1"/>
      <c r="H79" s="46">
        <v>20000</v>
      </c>
      <c r="I79" s="29"/>
      <c r="J79" s="30">
        <f t="shared" si="21"/>
        <v>-20000</v>
      </c>
      <c r="K79" s="1"/>
      <c r="L79" s="46">
        <v>20000</v>
      </c>
      <c r="M79" s="29"/>
      <c r="N79" s="30">
        <f t="shared" si="22"/>
        <v>-20000</v>
      </c>
      <c r="O79" s="1"/>
    </row>
    <row r="80" spans="1:15" s="8" customFormat="1">
      <c r="A80" s="62"/>
      <c r="B80" s="3" t="s">
        <v>112</v>
      </c>
      <c r="C80" s="45"/>
      <c r="D80" s="46"/>
      <c r="E80" s="29"/>
      <c r="F80" s="30">
        <f t="shared" ref="F80:F82" si="24">E80-D80</f>
        <v>0</v>
      </c>
      <c r="G80" s="31"/>
      <c r="H80" s="46">
        <v>86326</v>
      </c>
      <c r="I80" s="29"/>
      <c r="J80" s="30">
        <f t="shared" ref="J80:J82" si="25">I80-H80</f>
        <v>-86326</v>
      </c>
      <c r="K80" s="31"/>
      <c r="L80" s="46">
        <v>86326</v>
      </c>
      <c r="M80" s="29"/>
      <c r="N80" s="30">
        <f t="shared" ref="N80:N82" si="26">M80-L80</f>
        <v>-86326</v>
      </c>
      <c r="O80" s="31"/>
    </row>
    <row r="81" spans="1:15" s="8" customFormat="1">
      <c r="A81" s="62"/>
      <c r="B81" s="3" t="s">
        <v>113</v>
      </c>
      <c r="C81" s="45"/>
      <c r="D81" s="46">
        <v>340000</v>
      </c>
      <c r="E81" s="29">
        <v>340000</v>
      </c>
      <c r="F81" s="30">
        <f t="shared" si="24"/>
        <v>0</v>
      </c>
      <c r="G81" s="1"/>
      <c r="H81" s="46"/>
      <c r="I81" s="29"/>
      <c r="J81" s="30">
        <f t="shared" si="25"/>
        <v>0</v>
      </c>
      <c r="K81" s="1"/>
      <c r="L81" s="46">
        <v>2000000</v>
      </c>
      <c r="M81" s="29"/>
      <c r="N81" s="30">
        <f t="shared" si="26"/>
        <v>-2000000</v>
      </c>
      <c r="O81" s="1"/>
    </row>
    <row r="82" spans="1:15" s="8" customFormat="1">
      <c r="A82" s="62"/>
      <c r="B82" s="3" t="s">
        <v>114</v>
      </c>
      <c r="C82" s="45"/>
      <c r="D82" s="46">
        <v>5000</v>
      </c>
      <c r="E82" s="29">
        <v>5000</v>
      </c>
      <c r="F82" s="30">
        <f t="shared" si="24"/>
        <v>0</v>
      </c>
      <c r="G82" s="31"/>
      <c r="H82" s="46">
        <v>30000</v>
      </c>
      <c r="I82" s="29"/>
      <c r="J82" s="30">
        <f t="shared" si="25"/>
        <v>-30000</v>
      </c>
      <c r="K82" s="31"/>
      <c r="L82" s="46">
        <v>30000</v>
      </c>
      <c r="M82" s="29"/>
      <c r="N82" s="30">
        <f t="shared" si="26"/>
        <v>-30000</v>
      </c>
      <c r="O82" s="31"/>
    </row>
    <row r="83" spans="1:15" s="8" customFormat="1">
      <c r="A83" s="7"/>
      <c r="B83" s="3"/>
      <c r="C83" s="7"/>
      <c r="F83" s="9"/>
      <c r="J83" s="9"/>
      <c r="N83" s="9"/>
    </row>
    <row r="84" spans="1:15" s="8" customFormat="1">
      <c r="B84" s="44" t="s">
        <v>87</v>
      </c>
      <c r="C84" s="45"/>
      <c r="D84" s="46">
        <v>110777</v>
      </c>
      <c r="E84" s="29">
        <v>110777</v>
      </c>
      <c r="F84" s="30">
        <f>E84-D84</f>
        <v>0</v>
      </c>
      <c r="G84" s="1"/>
      <c r="H84" s="46"/>
      <c r="I84" s="29"/>
      <c r="J84" s="30">
        <f>I84-H84</f>
        <v>0</v>
      </c>
      <c r="K84" s="1"/>
      <c r="L84" s="46">
        <v>1000000</v>
      </c>
      <c r="M84" s="29"/>
      <c r="N84" s="30">
        <f>M84-L84</f>
        <v>-1000000</v>
      </c>
      <c r="O84" s="1"/>
    </row>
    <row r="85" spans="1:15" s="8" customFormat="1">
      <c r="B85" s="44"/>
      <c r="C85" s="45"/>
      <c r="D85" s="31"/>
      <c r="E85" s="31"/>
      <c r="F85" s="30"/>
      <c r="G85" s="31"/>
      <c r="H85" s="31"/>
      <c r="I85" s="31"/>
      <c r="J85" s="30"/>
      <c r="K85" s="31"/>
      <c r="L85" s="31"/>
      <c r="M85" s="31"/>
      <c r="N85" s="30"/>
      <c r="O85" s="31"/>
    </row>
    <row r="86" spans="1:15" s="8" customFormat="1">
      <c r="A86" s="101" t="s">
        <v>88</v>
      </c>
      <c r="B86" s="101"/>
      <c r="C86" s="45"/>
      <c r="D86" s="31"/>
      <c r="E86" s="31"/>
      <c r="F86" s="30"/>
      <c r="G86" s="31"/>
      <c r="H86" s="31"/>
      <c r="I86" s="31"/>
      <c r="J86" s="30"/>
      <c r="K86" s="31"/>
      <c r="L86" s="31"/>
      <c r="M86" s="31"/>
      <c r="N86" s="30"/>
      <c r="O86" s="31"/>
    </row>
    <row r="87" spans="1:15" s="8" customFormat="1">
      <c r="B87" s="63" t="s">
        <v>6</v>
      </c>
      <c r="C87" s="45"/>
      <c r="D87" s="46">
        <v>70000</v>
      </c>
      <c r="E87" s="29">
        <v>71324</v>
      </c>
      <c r="F87" s="30">
        <f t="shared" ref="F87:F89" si="27">E87-D87</f>
        <v>1324</v>
      </c>
      <c r="G87" s="1"/>
      <c r="H87" s="46">
        <v>70000</v>
      </c>
      <c r="I87" s="29"/>
      <c r="J87" s="30">
        <f t="shared" ref="J87:J89" si="28">I87-H87</f>
        <v>-70000</v>
      </c>
      <c r="K87" s="1"/>
      <c r="L87" s="46">
        <v>70000</v>
      </c>
      <c r="M87" s="29"/>
      <c r="N87" s="30">
        <f t="shared" ref="N87:N89" si="29">M87-L87</f>
        <v>-70000</v>
      </c>
      <c r="O87" s="1"/>
    </row>
    <row r="88" spans="1:15" s="8" customFormat="1">
      <c r="B88" s="63" t="s">
        <v>7</v>
      </c>
      <c r="C88" s="45"/>
      <c r="D88" s="46"/>
      <c r="E88" s="29"/>
      <c r="F88" s="30">
        <f t="shared" si="27"/>
        <v>0</v>
      </c>
      <c r="G88" s="31"/>
      <c r="H88" s="46"/>
      <c r="I88" s="29"/>
      <c r="J88" s="30">
        <f t="shared" si="28"/>
        <v>0</v>
      </c>
      <c r="K88" s="31"/>
      <c r="L88" s="46">
        <v>10000</v>
      </c>
      <c r="M88" s="29"/>
      <c r="N88" s="30">
        <f t="shared" si="29"/>
        <v>-10000</v>
      </c>
      <c r="O88" s="31"/>
    </row>
    <row r="89" spans="1:15" s="8" customFormat="1">
      <c r="B89" s="63" t="s">
        <v>8</v>
      </c>
      <c r="C89" s="45"/>
      <c r="D89" s="46"/>
      <c r="E89" s="29"/>
      <c r="F89" s="30">
        <f t="shared" si="27"/>
        <v>0</v>
      </c>
      <c r="G89" s="1"/>
      <c r="H89" s="46">
        <v>1200000</v>
      </c>
      <c r="I89" s="29"/>
      <c r="J89" s="30">
        <f t="shared" si="28"/>
        <v>-1200000</v>
      </c>
      <c r="K89" s="1"/>
      <c r="L89" s="46"/>
      <c r="M89" s="29"/>
      <c r="N89" s="30">
        <f t="shared" si="29"/>
        <v>0</v>
      </c>
      <c r="O89" s="31"/>
    </row>
    <row r="90" spans="1:15" s="8" customFormat="1">
      <c r="A90" s="7"/>
      <c r="B90" s="7"/>
      <c r="C90" s="7"/>
      <c r="F90" s="9"/>
      <c r="J90" s="9"/>
      <c r="N90" s="9"/>
    </row>
    <row r="91" spans="1:15" s="8" customFormat="1">
      <c r="B91" s="63" t="s">
        <v>89</v>
      </c>
      <c r="C91" s="45"/>
      <c r="D91" s="46"/>
      <c r="E91" s="29"/>
      <c r="F91" s="30">
        <f t="shared" ref="F91:F96" si="30">E91-D91</f>
        <v>0</v>
      </c>
      <c r="G91" s="31"/>
      <c r="H91" s="46"/>
      <c r="I91" s="29"/>
      <c r="J91" s="30">
        <f t="shared" ref="J91:J96" si="31">I91-H91</f>
        <v>0</v>
      </c>
      <c r="K91" s="31"/>
      <c r="L91" s="46"/>
      <c r="M91" s="29"/>
      <c r="N91" s="30">
        <f t="shared" ref="N91:N96" si="32">M91-L91</f>
        <v>0</v>
      </c>
      <c r="O91" s="31"/>
    </row>
    <row r="92" spans="1:15" s="8" customFormat="1">
      <c r="B92" s="63" t="s">
        <v>90</v>
      </c>
      <c r="C92" s="45"/>
      <c r="D92" s="46"/>
      <c r="E92" s="29"/>
      <c r="F92" s="30">
        <f t="shared" si="30"/>
        <v>0</v>
      </c>
      <c r="G92" s="31"/>
      <c r="H92" s="46"/>
      <c r="I92" s="29"/>
      <c r="J92" s="30">
        <f t="shared" si="31"/>
        <v>0</v>
      </c>
      <c r="K92" s="1"/>
      <c r="L92" s="46"/>
      <c r="M92" s="29"/>
      <c r="N92" s="30">
        <f t="shared" si="32"/>
        <v>0</v>
      </c>
      <c r="O92" s="1"/>
    </row>
    <row r="93" spans="1:15" s="8" customFormat="1">
      <c r="B93" s="63" t="s">
        <v>91</v>
      </c>
      <c r="C93" s="45"/>
      <c r="D93" s="46"/>
      <c r="E93" s="29"/>
      <c r="F93" s="30">
        <f t="shared" si="30"/>
        <v>0</v>
      </c>
      <c r="G93" s="31"/>
      <c r="H93" s="46"/>
      <c r="I93" s="29"/>
      <c r="J93" s="30">
        <f t="shared" si="31"/>
        <v>0</v>
      </c>
      <c r="K93" s="31"/>
      <c r="L93" s="46"/>
      <c r="M93" s="29"/>
      <c r="N93" s="30">
        <f t="shared" si="32"/>
        <v>0</v>
      </c>
      <c r="O93" s="31"/>
    </row>
    <row r="94" spans="1:15" s="8" customFormat="1">
      <c r="B94" s="63" t="s">
        <v>92</v>
      </c>
      <c r="C94" s="45"/>
      <c r="D94" s="46"/>
      <c r="E94" s="29"/>
      <c r="F94" s="30">
        <f t="shared" si="30"/>
        <v>0</v>
      </c>
      <c r="G94" s="31"/>
      <c r="H94" s="46"/>
      <c r="I94" s="29"/>
      <c r="J94" s="30">
        <f t="shared" si="31"/>
        <v>0</v>
      </c>
      <c r="K94" s="31"/>
      <c r="L94" s="46"/>
      <c r="M94" s="29"/>
      <c r="N94" s="30">
        <f t="shared" si="32"/>
        <v>0</v>
      </c>
      <c r="O94" s="31"/>
    </row>
    <row r="95" spans="1:15" s="8" customFormat="1">
      <c r="B95" s="63" t="s">
        <v>93</v>
      </c>
      <c r="C95" s="45"/>
      <c r="D95" s="46"/>
      <c r="E95" s="29"/>
      <c r="F95" s="30">
        <f t="shared" si="30"/>
        <v>0</v>
      </c>
      <c r="G95" s="31"/>
      <c r="H95" s="46"/>
      <c r="I95" s="29"/>
      <c r="J95" s="30">
        <f t="shared" si="31"/>
        <v>0</v>
      </c>
      <c r="K95" s="31"/>
      <c r="L95" s="46"/>
      <c r="M95" s="29"/>
      <c r="N95" s="30">
        <f t="shared" si="32"/>
        <v>0</v>
      </c>
      <c r="O95" s="31"/>
    </row>
    <row r="96" spans="1:15" s="8" customFormat="1">
      <c r="B96" s="63" t="s">
        <v>94</v>
      </c>
      <c r="C96" s="45"/>
      <c r="D96" s="46"/>
      <c r="E96" s="29"/>
      <c r="F96" s="30">
        <f t="shared" si="30"/>
        <v>0</v>
      </c>
      <c r="G96" s="31"/>
      <c r="H96" s="46"/>
      <c r="I96" s="29"/>
      <c r="J96" s="30">
        <f t="shared" si="31"/>
        <v>0</v>
      </c>
      <c r="K96" s="31"/>
      <c r="L96" s="46"/>
      <c r="M96" s="29"/>
      <c r="N96" s="30">
        <f t="shared" si="32"/>
        <v>0</v>
      </c>
      <c r="O96" s="31"/>
    </row>
    <row r="97" spans="1:15" s="8" customFormat="1" ht="7.5" customHeight="1">
      <c r="B97" s="45"/>
      <c r="C97" s="45"/>
      <c r="D97" s="31"/>
      <c r="E97" s="31"/>
      <c r="F97" s="30"/>
      <c r="G97" s="31"/>
      <c r="H97" s="31"/>
      <c r="I97" s="31"/>
      <c r="J97" s="30"/>
      <c r="K97" s="31"/>
      <c r="L97" s="31"/>
      <c r="M97" s="31"/>
      <c r="N97" s="30"/>
      <c r="O97" s="31"/>
    </row>
    <row r="98" spans="1:15" s="8" customFormat="1">
      <c r="B98" s="63" t="s">
        <v>95</v>
      </c>
      <c r="C98" s="45"/>
      <c r="D98" s="46"/>
      <c r="E98" s="29"/>
      <c r="F98" s="30">
        <f t="shared" ref="F98" si="33">E98-D98</f>
        <v>0</v>
      </c>
      <c r="G98" s="31"/>
      <c r="H98" s="46"/>
      <c r="I98" s="29"/>
      <c r="J98" s="30">
        <f t="shared" ref="J98" si="34">I98-H98</f>
        <v>0</v>
      </c>
      <c r="K98" s="31"/>
      <c r="L98" s="46"/>
      <c r="M98" s="29"/>
      <c r="N98" s="30">
        <f t="shared" ref="N98" si="35">M98-L98</f>
        <v>0</v>
      </c>
      <c r="O98" s="31"/>
    </row>
    <row r="99" spans="1:15" s="8" customFormat="1" ht="7.5" customHeight="1">
      <c r="B99" s="45"/>
      <c r="C99" s="45"/>
      <c r="D99" s="31"/>
      <c r="E99" s="31"/>
      <c r="F99" s="30"/>
      <c r="G99" s="31"/>
      <c r="H99" s="31"/>
      <c r="I99" s="31"/>
      <c r="J99" s="30"/>
      <c r="K99" s="31"/>
      <c r="L99" s="31"/>
      <c r="M99" s="31"/>
      <c r="N99" s="30"/>
      <c r="O99" s="31"/>
    </row>
    <row r="100" spans="1:15" s="8" customFormat="1">
      <c r="B100" s="63" t="s">
        <v>9</v>
      </c>
      <c r="C100" s="45"/>
      <c r="D100" s="46"/>
      <c r="E100" s="29"/>
      <c r="F100" s="30">
        <f t="shared" ref="F100:F103" si="36">E100-D100</f>
        <v>0</v>
      </c>
      <c r="G100" s="31"/>
      <c r="H100" s="46"/>
      <c r="I100" s="29"/>
      <c r="J100" s="30">
        <f t="shared" ref="J100:J103" si="37">I100-H100</f>
        <v>0</v>
      </c>
      <c r="K100" s="31"/>
      <c r="L100" s="46"/>
      <c r="M100" s="29"/>
      <c r="N100" s="30">
        <f t="shared" ref="N100:N103" si="38">M100-L100</f>
        <v>0</v>
      </c>
      <c r="O100" s="31"/>
    </row>
    <row r="101" spans="1:15" s="8" customFormat="1">
      <c r="B101" s="63" t="s">
        <v>10</v>
      </c>
      <c r="C101" s="45"/>
      <c r="D101" s="46"/>
      <c r="E101" s="29"/>
      <c r="F101" s="30">
        <f t="shared" si="36"/>
        <v>0</v>
      </c>
      <c r="G101" s="31"/>
      <c r="H101" s="46">
        <v>10000</v>
      </c>
      <c r="I101" s="29"/>
      <c r="J101" s="30">
        <f t="shared" si="37"/>
        <v>-10000</v>
      </c>
      <c r="K101" s="1"/>
      <c r="L101" s="46">
        <v>10000</v>
      </c>
      <c r="M101" s="29"/>
      <c r="N101" s="30">
        <f t="shared" si="38"/>
        <v>-10000</v>
      </c>
      <c r="O101" s="31"/>
    </row>
    <row r="102" spans="1:15" s="8" customFormat="1">
      <c r="B102" s="63" t="s">
        <v>11</v>
      </c>
      <c r="C102" s="45"/>
      <c r="D102" s="46">
        <v>25000</v>
      </c>
      <c r="E102" s="29">
        <v>19736</v>
      </c>
      <c r="F102" s="30">
        <f t="shared" si="36"/>
        <v>-5264</v>
      </c>
      <c r="G102" s="31"/>
      <c r="H102" s="46">
        <v>25000</v>
      </c>
      <c r="I102" s="29"/>
      <c r="J102" s="30">
        <f t="shared" si="37"/>
        <v>-25000</v>
      </c>
      <c r="K102" s="31"/>
      <c r="L102" s="46">
        <v>25000</v>
      </c>
      <c r="M102" s="29"/>
      <c r="N102" s="30">
        <f t="shared" si="38"/>
        <v>-25000</v>
      </c>
      <c r="O102" s="31"/>
    </row>
    <row r="103" spans="1:15" s="8" customFormat="1">
      <c r="B103" s="63" t="s">
        <v>12</v>
      </c>
      <c r="C103" s="45"/>
      <c r="D103" s="46"/>
      <c r="E103" s="29"/>
      <c r="F103" s="30">
        <f t="shared" si="36"/>
        <v>0</v>
      </c>
      <c r="G103" s="31"/>
      <c r="H103" s="46">
        <v>9000</v>
      </c>
      <c r="I103" s="29"/>
      <c r="J103" s="30">
        <f t="shared" si="37"/>
        <v>-9000</v>
      </c>
      <c r="K103" s="31"/>
      <c r="L103" s="46">
        <v>9000</v>
      </c>
      <c r="M103" s="29"/>
      <c r="N103" s="30">
        <f t="shared" si="38"/>
        <v>-9000</v>
      </c>
      <c r="O103" s="31"/>
    </row>
    <row r="104" spans="1:15" s="8" customFormat="1" ht="7.5" customHeight="1">
      <c r="B104" s="45"/>
      <c r="C104" s="45"/>
      <c r="D104" s="31"/>
      <c r="E104" s="31"/>
      <c r="F104" s="30"/>
      <c r="G104" s="31"/>
      <c r="H104" s="31"/>
      <c r="I104" s="31"/>
      <c r="J104" s="30"/>
      <c r="K104" s="31"/>
      <c r="L104" s="31"/>
      <c r="M104" s="31"/>
      <c r="N104" s="30"/>
      <c r="O104" s="31"/>
    </row>
    <row r="105" spans="1:15" s="8" customFormat="1">
      <c r="B105" s="44" t="s">
        <v>13</v>
      </c>
      <c r="C105" s="45"/>
      <c r="D105" s="46"/>
      <c r="E105" s="29"/>
      <c r="F105" s="30">
        <f>E105-D105</f>
        <v>0</v>
      </c>
      <c r="G105" s="31"/>
      <c r="H105" s="47"/>
      <c r="I105" s="29"/>
      <c r="J105" s="30">
        <f>I105-H105</f>
        <v>0</v>
      </c>
      <c r="K105" s="31"/>
      <c r="L105" s="47"/>
      <c r="M105" s="29"/>
      <c r="N105" s="30">
        <f>M105-L105</f>
        <v>0</v>
      </c>
      <c r="O105" s="31"/>
    </row>
    <row r="106" spans="1:15" s="8" customFormat="1">
      <c r="A106" s="7"/>
      <c r="B106" s="7"/>
      <c r="C106" s="7"/>
      <c r="F106" s="9"/>
      <c r="J106" s="9"/>
      <c r="N106" s="9"/>
    </row>
    <row r="107" spans="1:15" s="8" customFormat="1">
      <c r="A107" s="101" t="s">
        <v>96</v>
      </c>
      <c r="B107" s="101"/>
      <c r="C107" s="45"/>
      <c r="D107" s="31"/>
      <c r="E107" s="31"/>
      <c r="F107" s="30"/>
      <c r="G107" s="31"/>
      <c r="H107" s="31"/>
      <c r="I107" s="31"/>
      <c r="J107" s="30"/>
      <c r="K107" s="31"/>
      <c r="L107" s="31"/>
      <c r="M107" s="31"/>
      <c r="N107" s="30"/>
      <c r="O107" s="31"/>
    </row>
    <row r="108" spans="1:15" s="8" customFormat="1">
      <c r="B108" s="44" t="s">
        <v>14</v>
      </c>
      <c r="C108" s="45"/>
      <c r="D108" s="46">
        <v>35515</v>
      </c>
      <c r="E108" s="29"/>
      <c r="F108" s="30">
        <f t="shared" ref="F108:F121" si="39">E108-D108</f>
        <v>-35515</v>
      </c>
      <c r="G108" s="31"/>
      <c r="H108" s="46">
        <v>35515</v>
      </c>
      <c r="I108" s="29"/>
      <c r="J108" s="30">
        <f t="shared" ref="J108:J121" si="40">I108-H108</f>
        <v>-35515</v>
      </c>
      <c r="K108" s="31"/>
      <c r="L108" s="46"/>
      <c r="M108" s="29"/>
      <c r="N108" s="30">
        <f t="shared" ref="N108:N121" si="41">M108-L108</f>
        <v>0</v>
      </c>
      <c r="O108" s="1"/>
    </row>
    <row r="109" spans="1:15" s="8" customFormat="1">
      <c r="B109" s="44" t="s">
        <v>15</v>
      </c>
      <c r="C109" s="45"/>
      <c r="D109" s="46"/>
      <c r="E109" s="29">
        <v>349</v>
      </c>
      <c r="F109" s="30">
        <f t="shared" si="39"/>
        <v>349</v>
      </c>
      <c r="G109" s="1"/>
      <c r="H109" s="46">
        <v>14000</v>
      </c>
      <c r="I109" s="29"/>
      <c r="J109" s="30">
        <f t="shared" si="40"/>
        <v>-14000</v>
      </c>
      <c r="K109" s="31"/>
      <c r="L109" s="46"/>
      <c r="M109" s="29"/>
      <c r="N109" s="30">
        <f t="shared" si="41"/>
        <v>0</v>
      </c>
      <c r="O109" s="1"/>
    </row>
    <row r="110" spans="1:15" s="8" customFormat="1">
      <c r="B110" s="44" t="s">
        <v>16</v>
      </c>
      <c r="C110" s="45"/>
      <c r="D110" s="46"/>
      <c r="E110" s="29"/>
      <c r="F110" s="30">
        <f t="shared" si="39"/>
        <v>0</v>
      </c>
      <c r="G110" s="31"/>
      <c r="H110" s="46"/>
      <c r="I110" s="29"/>
      <c r="J110" s="30">
        <f t="shared" si="40"/>
        <v>0</v>
      </c>
      <c r="K110" s="31"/>
      <c r="L110" s="46"/>
      <c r="M110" s="29"/>
      <c r="N110" s="30">
        <f t="shared" si="41"/>
        <v>0</v>
      </c>
      <c r="O110" s="31"/>
    </row>
    <row r="111" spans="1:15" s="8" customFormat="1">
      <c r="B111" s="44" t="s">
        <v>17</v>
      </c>
      <c r="C111" s="45"/>
      <c r="D111" s="46"/>
      <c r="E111" s="29"/>
      <c r="F111" s="30">
        <f t="shared" si="39"/>
        <v>0</v>
      </c>
      <c r="G111" s="31"/>
      <c r="H111" s="46">
        <v>518590</v>
      </c>
      <c r="I111" s="29"/>
      <c r="J111" s="30">
        <f t="shared" si="40"/>
        <v>-518590</v>
      </c>
      <c r="K111" s="1"/>
      <c r="L111" s="46">
        <v>170113</v>
      </c>
      <c r="M111" s="29"/>
      <c r="N111" s="30">
        <f t="shared" si="41"/>
        <v>-170113</v>
      </c>
      <c r="O111" s="31"/>
    </row>
    <row r="112" spans="1:15" s="8" customFormat="1">
      <c r="B112" s="44" t="s">
        <v>18</v>
      </c>
      <c r="C112" s="45"/>
      <c r="D112" s="46"/>
      <c r="E112" s="29"/>
      <c r="F112" s="30">
        <f t="shared" si="39"/>
        <v>0</v>
      </c>
      <c r="G112" s="31"/>
      <c r="H112" s="46"/>
      <c r="I112" s="29"/>
      <c r="J112" s="30">
        <f t="shared" si="40"/>
        <v>0</v>
      </c>
      <c r="K112" s="31"/>
      <c r="L112" s="46"/>
      <c r="M112" s="29"/>
      <c r="N112" s="30">
        <f t="shared" si="41"/>
        <v>0</v>
      </c>
      <c r="O112" s="31"/>
    </row>
    <row r="113" spans="1:15" s="8" customFormat="1">
      <c r="B113" s="44" t="s">
        <v>19</v>
      </c>
      <c r="C113" s="45"/>
      <c r="D113" s="47">
        <v>55993</v>
      </c>
      <c r="E113" s="29">
        <v>111987</v>
      </c>
      <c r="F113" s="30">
        <f t="shared" si="39"/>
        <v>55994</v>
      </c>
      <c r="G113" s="31"/>
      <c r="H113" s="47"/>
      <c r="I113" s="29"/>
      <c r="J113" s="30">
        <f t="shared" si="40"/>
        <v>0</v>
      </c>
      <c r="K113" s="31"/>
      <c r="L113" s="47">
        <v>55993</v>
      </c>
      <c r="M113" s="29"/>
      <c r="N113" s="30">
        <f t="shared" si="41"/>
        <v>-55993</v>
      </c>
      <c r="O113" s="31"/>
    </row>
    <row r="114" spans="1:15" s="8" customFormat="1">
      <c r="B114" s="44" t="s">
        <v>20</v>
      </c>
      <c r="C114" s="45"/>
      <c r="D114" s="47">
        <v>30737</v>
      </c>
      <c r="E114" s="29">
        <v>61474</v>
      </c>
      <c r="F114" s="30">
        <f t="shared" si="39"/>
        <v>30737</v>
      </c>
      <c r="G114" s="31"/>
      <c r="H114" s="47"/>
      <c r="I114" s="29"/>
      <c r="J114" s="30">
        <f t="shared" si="40"/>
        <v>0</v>
      </c>
      <c r="K114" s="31"/>
      <c r="L114" s="47">
        <v>30737</v>
      </c>
      <c r="M114" s="29"/>
      <c r="N114" s="30">
        <f t="shared" si="41"/>
        <v>-30737</v>
      </c>
      <c r="O114" s="31"/>
    </row>
    <row r="115" spans="1:15" s="8" customFormat="1">
      <c r="B115" s="44" t="s">
        <v>21</v>
      </c>
      <c r="C115" s="45"/>
      <c r="D115" s="47"/>
      <c r="E115" s="29"/>
      <c r="F115" s="30">
        <f t="shared" si="39"/>
        <v>0</v>
      </c>
      <c r="G115" s="31"/>
      <c r="H115" s="47"/>
      <c r="I115" s="29"/>
      <c r="J115" s="30">
        <f t="shared" si="40"/>
        <v>0</v>
      </c>
      <c r="K115" s="31"/>
      <c r="L115" s="47"/>
      <c r="M115" s="29"/>
      <c r="N115" s="30">
        <f t="shared" si="41"/>
        <v>0</v>
      </c>
      <c r="O115" s="31"/>
    </row>
    <row r="116" spans="1:15" s="8" customFormat="1">
      <c r="B116" s="44" t="s">
        <v>22</v>
      </c>
      <c r="C116" s="45"/>
      <c r="D116" s="47">
        <v>22000</v>
      </c>
      <c r="E116" s="29">
        <v>14279</v>
      </c>
      <c r="F116" s="30">
        <f t="shared" si="39"/>
        <v>-7721</v>
      </c>
      <c r="G116" s="31"/>
      <c r="H116" s="47">
        <v>7721</v>
      </c>
      <c r="I116" s="29"/>
      <c r="J116" s="30">
        <f t="shared" si="40"/>
        <v>-7721</v>
      </c>
      <c r="K116" s="31"/>
      <c r="L116" s="47">
        <v>23000</v>
      </c>
      <c r="M116" s="29"/>
      <c r="N116" s="30">
        <f t="shared" si="41"/>
        <v>-23000</v>
      </c>
      <c r="O116" s="31"/>
    </row>
    <row r="117" spans="1:15" s="8" customFormat="1">
      <c r="B117" s="64" t="s">
        <v>23</v>
      </c>
      <c r="C117" s="45"/>
      <c r="D117" s="47"/>
      <c r="E117" s="29"/>
      <c r="F117" s="30">
        <f t="shared" si="39"/>
        <v>0</v>
      </c>
      <c r="G117" s="1"/>
      <c r="H117" s="47"/>
      <c r="I117" s="29"/>
      <c r="J117" s="30">
        <f t="shared" si="40"/>
        <v>0</v>
      </c>
      <c r="K117" s="1"/>
      <c r="L117" s="47">
        <v>50000</v>
      </c>
      <c r="M117" s="29"/>
      <c r="N117" s="30">
        <f t="shared" si="41"/>
        <v>-50000</v>
      </c>
      <c r="O117" s="1"/>
    </row>
    <row r="118" spans="1:15" s="8" customFormat="1">
      <c r="B118" s="64" t="s">
        <v>24</v>
      </c>
      <c r="C118" s="45"/>
      <c r="D118" s="47"/>
      <c r="E118" s="29"/>
      <c r="F118" s="30">
        <f t="shared" si="39"/>
        <v>0</v>
      </c>
      <c r="G118" s="31"/>
      <c r="H118" s="47"/>
      <c r="I118" s="29"/>
      <c r="J118" s="30">
        <f t="shared" si="40"/>
        <v>0</v>
      </c>
      <c r="K118" s="31"/>
      <c r="L118" s="47"/>
      <c r="M118" s="29"/>
      <c r="N118" s="30">
        <f t="shared" si="41"/>
        <v>0</v>
      </c>
      <c r="O118" s="31"/>
    </row>
    <row r="119" spans="1:15" s="8" customFormat="1">
      <c r="B119" s="64" t="s">
        <v>25</v>
      </c>
      <c r="C119" s="45"/>
      <c r="D119" s="47"/>
      <c r="E119" s="29"/>
      <c r="F119" s="30">
        <f t="shared" si="39"/>
        <v>0</v>
      </c>
      <c r="G119" s="31"/>
      <c r="H119" s="47">
        <v>70000</v>
      </c>
      <c r="I119" s="29"/>
      <c r="J119" s="30">
        <f t="shared" si="40"/>
        <v>-70000</v>
      </c>
      <c r="K119" s="31"/>
      <c r="L119" s="47">
        <v>70000</v>
      </c>
      <c r="M119" s="29"/>
      <c r="N119" s="30">
        <f t="shared" si="41"/>
        <v>-70000</v>
      </c>
      <c r="O119" s="31"/>
    </row>
    <row r="120" spans="1:15" s="8" customFormat="1">
      <c r="B120" s="64" t="s">
        <v>26</v>
      </c>
      <c r="C120" s="45"/>
      <c r="D120" s="47"/>
      <c r="E120" s="29"/>
      <c r="F120" s="30">
        <f t="shared" si="39"/>
        <v>0</v>
      </c>
      <c r="G120" s="31"/>
      <c r="H120" s="47"/>
      <c r="I120" s="29"/>
      <c r="J120" s="30">
        <f t="shared" si="40"/>
        <v>0</v>
      </c>
      <c r="K120" s="31"/>
      <c r="L120" s="47"/>
      <c r="M120" s="29"/>
      <c r="N120" s="30">
        <f t="shared" si="41"/>
        <v>0</v>
      </c>
      <c r="O120" s="31"/>
    </row>
    <row r="121" spans="1:15" s="8" customFormat="1">
      <c r="B121" s="64" t="s">
        <v>27</v>
      </c>
      <c r="C121" s="45"/>
      <c r="D121" s="47"/>
      <c r="E121" s="29"/>
      <c r="F121" s="30">
        <f t="shared" si="39"/>
        <v>0</v>
      </c>
      <c r="G121" s="1"/>
      <c r="H121" s="47">
        <v>20000</v>
      </c>
      <c r="I121" s="29"/>
      <c r="J121" s="30">
        <f t="shared" si="40"/>
        <v>-20000</v>
      </c>
      <c r="K121" s="1"/>
      <c r="L121" s="47">
        <v>20000</v>
      </c>
      <c r="M121" s="29"/>
      <c r="N121" s="30">
        <f t="shared" si="41"/>
        <v>-20000</v>
      </c>
      <c r="O121" s="1"/>
    </row>
    <row r="122" spans="1:15" s="8" customFormat="1">
      <c r="A122" s="7"/>
      <c r="B122" s="7"/>
      <c r="C122" s="7"/>
      <c r="F122" s="9"/>
      <c r="J122" s="9"/>
      <c r="N122" s="9"/>
    </row>
    <row r="123" spans="1:15" s="8" customFormat="1">
      <c r="A123" s="101" t="s">
        <v>97</v>
      </c>
      <c r="B123" s="101"/>
      <c r="C123" s="45"/>
      <c r="D123" s="31"/>
      <c r="E123" s="31"/>
      <c r="F123" s="30"/>
      <c r="G123" s="31"/>
      <c r="H123" s="31"/>
      <c r="I123" s="31"/>
      <c r="J123" s="30"/>
      <c r="K123" s="31"/>
      <c r="L123" s="31"/>
      <c r="M123" s="31"/>
      <c r="N123" s="30"/>
      <c r="O123" s="31"/>
    </row>
    <row r="124" spans="1:15" s="8" customFormat="1">
      <c r="B124" s="44" t="s">
        <v>28</v>
      </c>
      <c r="C124" s="45"/>
      <c r="D124" s="46"/>
      <c r="E124" s="29"/>
      <c r="F124" s="30">
        <f t="shared" ref="F124:F128" si="42">E124-D124</f>
        <v>0</v>
      </c>
      <c r="G124" s="31"/>
      <c r="H124" s="46">
        <v>960000</v>
      </c>
      <c r="I124" s="29"/>
      <c r="J124" s="30">
        <f t="shared" ref="J124:J128" si="43">I124-H124</f>
        <v>-960000</v>
      </c>
      <c r="K124" s="31"/>
      <c r="L124" s="46"/>
      <c r="M124" s="29"/>
      <c r="N124" s="30">
        <f t="shared" ref="N124:N128" si="44">M124-L124</f>
        <v>0</v>
      </c>
      <c r="O124" s="1"/>
    </row>
    <row r="125" spans="1:15" s="8" customFormat="1">
      <c r="B125" s="44" t="s">
        <v>29</v>
      </c>
      <c r="C125" s="45"/>
      <c r="D125" s="46"/>
      <c r="E125" s="29"/>
      <c r="F125" s="30">
        <f t="shared" si="42"/>
        <v>0</v>
      </c>
      <c r="G125" s="31"/>
      <c r="H125" s="46">
        <v>80000</v>
      </c>
      <c r="I125" s="29"/>
      <c r="J125" s="30">
        <f t="shared" si="43"/>
        <v>-80000</v>
      </c>
      <c r="K125" s="1"/>
      <c r="L125" s="46"/>
      <c r="M125" s="29"/>
      <c r="N125" s="30">
        <f t="shared" si="44"/>
        <v>0</v>
      </c>
      <c r="O125" s="31"/>
    </row>
    <row r="126" spans="1:15" s="8" customFormat="1">
      <c r="B126" s="44" t="s">
        <v>30</v>
      </c>
      <c r="C126" s="45"/>
      <c r="D126" s="46"/>
      <c r="E126" s="29"/>
      <c r="F126" s="30">
        <f t="shared" si="42"/>
        <v>0</v>
      </c>
      <c r="G126" s="31"/>
      <c r="H126" s="47">
        <v>137000</v>
      </c>
      <c r="I126" s="29"/>
      <c r="J126" s="30">
        <f t="shared" si="43"/>
        <v>-137000</v>
      </c>
      <c r="K126" s="1"/>
      <c r="L126" s="46"/>
      <c r="M126" s="29"/>
      <c r="N126" s="30">
        <f t="shared" si="44"/>
        <v>0</v>
      </c>
      <c r="O126" s="31"/>
    </row>
    <row r="127" spans="1:15" s="8" customFormat="1">
      <c r="B127" s="44" t="s">
        <v>31</v>
      </c>
      <c r="C127" s="45"/>
      <c r="D127" s="46"/>
      <c r="E127" s="29"/>
      <c r="F127" s="30">
        <f t="shared" si="42"/>
        <v>0</v>
      </c>
      <c r="G127" s="31"/>
      <c r="H127" s="47">
        <v>451112</v>
      </c>
      <c r="I127" s="29"/>
      <c r="J127" s="30">
        <f t="shared" si="43"/>
        <v>-451112</v>
      </c>
      <c r="K127" s="31"/>
      <c r="L127" s="46">
        <v>901232</v>
      </c>
      <c r="M127" s="29"/>
      <c r="N127" s="30">
        <f t="shared" si="44"/>
        <v>-901232</v>
      </c>
      <c r="O127" s="1"/>
    </row>
    <row r="128" spans="1:15" s="8" customFormat="1">
      <c r="B128" s="44" t="s">
        <v>32</v>
      </c>
      <c r="C128" s="45"/>
      <c r="D128" s="46"/>
      <c r="E128" s="29"/>
      <c r="F128" s="30">
        <f t="shared" si="42"/>
        <v>0</v>
      </c>
      <c r="G128" s="31"/>
      <c r="H128" s="47"/>
      <c r="I128" s="29"/>
      <c r="J128" s="30">
        <f t="shared" si="43"/>
        <v>0</v>
      </c>
      <c r="K128" s="31"/>
      <c r="L128" s="46"/>
      <c r="M128" s="29"/>
      <c r="N128" s="30">
        <f t="shared" si="44"/>
        <v>0</v>
      </c>
      <c r="O128" s="1"/>
    </row>
    <row r="129" spans="1:15" s="8" customFormat="1">
      <c r="A129" s="7"/>
      <c r="B129" s="7"/>
      <c r="C129" s="7"/>
      <c r="F129" s="9"/>
      <c r="J129" s="9"/>
      <c r="N129" s="9"/>
    </row>
    <row r="130" spans="1:15" s="8" customFormat="1">
      <c r="A130" s="101" t="s">
        <v>98</v>
      </c>
      <c r="B130" s="101"/>
      <c r="C130" s="45"/>
      <c r="D130" s="31"/>
      <c r="E130" s="31"/>
      <c r="F130" s="30"/>
      <c r="G130" s="31"/>
      <c r="H130" s="31"/>
      <c r="I130" s="31"/>
      <c r="J130" s="30"/>
      <c r="K130" s="31"/>
      <c r="L130" s="31"/>
      <c r="M130" s="31"/>
      <c r="N130" s="30"/>
      <c r="O130" s="31"/>
    </row>
    <row r="131" spans="1:15" s="8" customFormat="1">
      <c r="B131" s="44" t="s">
        <v>62</v>
      </c>
      <c r="C131" s="45"/>
      <c r="D131" s="46"/>
      <c r="E131" s="29"/>
      <c r="F131" s="30">
        <f t="shared" ref="F131:F135" si="45">E131-D131</f>
        <v>0</v>
      </c>
      <c r="G131" s="31"/>
      <c r="H131" s="46">
        <v>500000</v>
      </c>
      <c r="I131" s="29"/>
      <c r="J131" s="30">
        <f t="shared" ref="J131:J135" si="46">I131-H131</f>
        <v>-500000</v>
      </c>
      <c r="K131" s="31"/>
      <c r="L131" s="46">
        <v>765900</v>
      </c>
      <c r="M131" s="29"/>
      <c r="N131" s="30">
        <f t="shared" ref="N131:N135" si="47">M131-L131</f>
        <v>-765900</v>
      </c>
      <c r="O131" s="1"/>
    </row>
    <row r="132" spans="1:15" s="8" customFormat="1">
      <c r="B132" s="44" t="s">
        <v>63</v>
      </c>
      <c r="C132" s="45"/>
      <c r="D132" s="46"/>
      <c r="E132" s="29"/>
      <c r="F132" s="30">
        <f t="shared" si="45"/>
        <v>0</v>
      </c>
      <c r="G132" s="31"/>
      <c r="H132" s="46">
        <v>80000</v>
      </c>
      <c r="I132" s="29"/>
      <c r="J132" s="30">
        <f t="shared" si="46"/>
        <v>-80000</v>
      </c>
      <c r="K132" s="1"/>
      <c r="L132" s="46"/>
      <c r="M132" s="29"/>
      <c r="N132" s="30">
        <f t="shared" si="47"/>
        <v>0</v>
      </c>
      <c r="O132" s="31"/>
    </row>
    <row r="133" spans="1:15" s="8" customFormat="1">
      <c r="B133" s="44" t="s">
        <v>64</v>
      </c>
      <c r="C133" s="45"/>
      <c r="D133" s="46"/>
      <c r="E133" s="29"/>
      <c r="F133" s="30">
        <f t="shared" si="45"/>
        <v>0</v>
      </c>
      <c r="G133" s="31"/>
      <c r="H133" s="47">
        <v>137000</v>
      </c>
      <c r="I133" s="29"/>
      <c r="J133" s="30">
        <f t="shared" si="46"/>
        <v>-137000</v>
      </c>
      <c r="K133" s="1"/>
      <c r="L133" s="46">
        <v>325611</v>
      </c>
      <c r="M133" s="29"/>
      <c r="N133" s="30">
        <f t="shared" si="47"/>
        <v>-325611</v>
      </c>
      <c r="O133" s="31"/>
    </row>
    <row r="134" spans="1:15" s="8" customFormat="1">
      <c r="B134" s="44" t="s">
        <v>65</v>
      </c>
      <c r="C134" s="45"/>
      <c r="D134" s="46">
        <v>902451</v>
      </c>
      <c r="E134" s="29"/>
      <c r="F134" s="30">
        <f t="shared" si="45"/>
        <v>-902451</v>
      </c>
      <c r="G134" s="31"/>
      <c r="H134" s="47">
        <v>902451</v>
      </c>
      <c r="I134" s="29"/>
      <c r="J134" s="30">
        <f t="shared" si="46"/>
        <v>-902451</v>
      </c>
      <c r="K134" s="31"/>
      <c r="L134" s="46"/>
      <c r="M134" s="29"/>
      <c r="N134" s="30">
        <f t="shared" si="47"/>
        <v>0</v>
      </c>
      <c r="O134" s="1"/>
    </row>
    <row r="135" spans="1:15" s="8" customFormat="1">
      <c r="B135" s="44" t="s">
        <v>66</v>
      </c>
      <c r="C135" s="45"/>
      <c r="D135" s="46"/>
      <c r="E135" s="29"/>
      <c r="F135" s="30">
        <f t="shared" si="45"/>
        <v>0</v>
      </c>
      <c r="G135" s="31"/>
      <c r="H135" s="47"/>
      <c r="I135" s="29"/>
      <c r="J135" s="30">
        <f t="shared" si="46"/>
        <v>0</v>
      </c>
      <c r="K135" s="31"/>
      <c r="L135" s="46"/>
      <c r="M135" s="29"/>
      <c r="N135" s="30">
        <f t="shared" si="47"/>
        <v>0</v>
      </c>
      <c r="O135" s="1"/>
    </row>
    <row r="136" spans="1:15" s="8" customFormat="1">
      <c r="B136" s="10"/>
      <c r="C136" s="45"/>
      <c r="D136" s="31"/>
      <c r="E136" s="31"/>
      <c r="F136" s="30"/>
      <c r="G136" s="31"/>
      <c r="H136" s="31"/>
      <c r="I136" s="31"/>
      <c r="J136" s="30"/>
      <c r="K136" s="31"/>
      <c r="L136" s="31"/>
      <c r="M136" s="31"/>
      <c r="N136" s="30"/>
      <c r="O136" s="31"/>
    </row>
    <row r="137" spans="1:15" s="8" customFormat="1">
      <c r="A137" s="101" t="s">
        <v>99</v>
      </c>
      <c r="B137" s="101"/>
      <c r="C137" s="45"/>
      <c r="D137" s="31"/>
      <c r="E137" s="31"/>
      <c r="F137" s="30"/>
      <c r="G137" s="31"/>
      <c r="H137" s="31"/>
      <c r="I137" s="31"/>
      <c r="J137" s="30"/>
      <c r="K137" s="31"/>
      <c r="L137" s="31"/>
      <c r="M137" s="31"/>
      <c r="N137" s="30"/>
      <c r="O137" s="31"/>
    </row>
    <row r="138" spans="1:15" s="8" customFormat="1">
      <c r="B138" s="64" t="s">
        <v>33</v>
      </c>
      <c r="C138" s="45"/>
      <c r="D138" s="46">
        <v>1900000</v>
      </c>
      <c r="E138" s="29">
        <v>2833170</v>
      </c>
      <c r="F138" s="30">
        <f t="shared" ref="F138:F148" si="48">E138-D138</f>
        <v>933170</v>
      </c>
      <c r="G138" s="1"/>
      <c r="H138" s="47">
        <v>300000</v>
      </c>
      <c r="I138" s="29"/>
      <c r="J138" s="30">
        <f t="shared" ref="J138:J148" si="49">I138-H138</f>
        <v>-300000</v>
      </c>
      <c r="K138" s="1"/>
      <c r="L138" s="46">
        <v>1000000</v>
      </c>
      <c r="M138" s="29"/>
      <c r="N138" s="30">
        <f t="shared" ref="N138:N148" si="50">M138-L138</f>
        <v>-1000000</v>
      </c>
      <c r="O138" s="1"/>
    </row>
    <row r="139" spans="1:15" s="8" customFormat="1">
      <c r="B139" s="64" t="s">
        <v>34</v>
      </c>
      <c r="C139" s="45"/>
      <c r="D139" s="46"/>
      <c r="E139" s="29"/>
      <c r="F139" s="30">
        <f t="shared" si="48"/>
        <v>0</v>
      </c>
      <c r="G139" s="31"/>
      <c r="H139" s="46"/>
      <c r="I139" s="29"/>
      <c r="J139" s="30">
        <f t="shared" si="49"/>
        <v>0</v>
      </c>
      <c r="K139" s="31"/>
      <c r="L139" s="46"/>
      <c r="M139" s="29"/>
      <c r="N139" s="30">
        <f t="shared" si="50"/>
        <v>0</v>
      </c>
      <c r="O139" s="31"/>
    </row>
    <row r="140" spans="1:15" s="8" customFormat="1">
      <c r="B140" s="64" t="s">
        <v>35</v>
      </c>
      <c r="C140" s="45"/>
      <c r="D140" s="46"/>
      <c r="E140" s="29"/>
      <c r="F140" s="30">
        <f t="shared" si="48"/>
        <v>0</v>
      </c>
      <c r="G140" s="31"/>
      <c r="H140" s="46"/>
      <c r="I140" s="29"/>
      <c r="J140" s="30">
        <f t="shared" si="49"/>
        <v>0</v>
      </c>
      <c r="K140" s="31"/>
      <c r="L140" s="46"/>
      <c r="M140" s="29"/>
      <c r="N140" s="30">
        <f t="shared" si="50"/>
        <v>0</v>
      </c>
      <c r="O140" s="31"/>
    </row>
    <row r="141" spans="1:15" s="8" customFormat="1">
      <c r="B141" s="64" t="s">
        <v>36</v>
      </c>
      <c r="C141" s="45"/>
      <c r="D141" s="46"/>
      <c r="E141" s="29"/>
      <c r="F141" s="30">
        <f t="shared" si="48"/>
        <v>0</v>
      </c>
      <c r="G141" s="31"/>
      <c r="H141" s="46"/>
      <c r="I141" s="29"/>
      <c r="J141" s="30">
        <f t="shared" si="49"/>
        <v>0</v>
      </c>
      <c r="K141" s="31"/>
      <c r="L141" s="46"/>
      <c r="M141" s="29"/>
      <c r="N141" s="30">
        <f t="shared" si="50"/>
        <v>0</v>
      </c>
      <c r="O141" s="31"/>
    </row>
    <row r="142" spans="1:15" s="8" customFormat="1">
      <c r="B142" s="64" t="s">
        <v>37</v>
      </c>
      <c r="C142" s="45"/>
      <c r="D142" s="46"/>
      <c r="E142" s="29"/>
      <c r="F142" s="30">
        <f t="shared" si="48"/>
        <v>0</v>
      </c>
      <c r="G142" s="31"/>
      <c r="H142" s="46"/>
      <c r="I142" s="29"/>
      <c r="J142" s="30">
        <f t="shared" si="49"/>
        <v>0</v>
      </c>
      <c r="K142" s="31"/>
      <c r="L142" s="46">
        <v>85000</v>
      </c>
      <c r="M142" s="29"/>
      <c r="N142" s="30">
        <f t="shared" si="50"/>
        <v>-85000</v>
      </c>
      <c r="O142" s="31"/>
    </row>
    <row r="143" spans="1:15" s="8" customFormat="1">
      <c r="B143" s="64" t="s">
        <v>38</v>
      </c>
      <c r="C143" s="45"/>
      <c r="D143" s="46"/>
      <c r="E143" s="29"/>
      <c r="F143" s="30">
        <f t="shared" si="48"/>
        <v>0</v>
      </c>
      <c r="G143" s="31"/>
      <c r="H143" s="46"/>
      <c r="I143" s="29"/>
      <c r="J143" s="30">
        <f t="shared" si="49"/>
        <v>0</v>
      </c>
      <c r="K143" s="31"/>
      <c r="L143" s="46"/>
      <c r="M143" s="29"/>
      <c r="N143" s="30">
        <f t="shared" si="50"/>
        <v>0</v>
      </c>
      <c r="O143" s="31"/>
    </row>
    <row r="144" spans="1:15" s="8" customFormat="1">
      <c r="B144" s="64" t="s">
        <v>50</v>
      </c>
      <c r="C144" s="45"/>
      <c r="D144" s="46"/>
      <c r="E144" s="29"/>
      <c r="F144" s="30">
        <f t="shared" si="48"/>
        <v>0</v>
      </c>
      <c r="G144" s="1"/>
      <c r="H144" s="46"/>
      <c r="I144" s="29"/>
      <c r="J144" s="30">
        <f t="shared" si="49"/>
        <v>0</v>
      </c>
      <c r="K144" s="31"/>
      <c r="L144" s="46"/>
      <c r="M144" s="29"/>
      <c r="N144" s="30">
        <f t="shared" si="50"/>
        <v>0</v>
      </c>
      <c r="O144" s="1"/>
    </row>
    <row r="145" spans="1:15" s="8" customFormat="1">
      <c r="B145" s="65" t="s">
        <v>51</v>
      </c>
      <c r="C145" s="45"/>
      <c r="D145" s="46"/>
      <c r="E145" s="29"/>
      <c r="F145" s="30">
        <f t="shared" si="48"/>
        <v>0</v>
      </c>
      <c r="G145" s="1"/>
      <c r="H145" s="46"/>
      <c r="I145" s="29"/>
      <c r="J145" s="30">
        <f t="shared" si="49"/>
        <v>0</v>
      </c>
      <c r="K145" s="31"/>
      <c r="L145" s="46"/>
      <c r="M145" s="29"/>
      <c r="N145" s="30">
        <f t="shared" si="50"/>
        <v>0</v>
      </c>
      <c r="O145" s="31"/>
    </row>
    <row r="146" spans="1:15" s="8" customFormat="1">
      <c r="B146" s="63" t="s">
        <v>39</v>
      </c>
      <c r="C146" s="45"/>
      <c r="D146" s="46"/>
      <c r="E146" s="29"/>
      <c r="F146" s="30">
        <f t="shared" si="48"/>
        <v>0</v>
      </c>
      <c r="G146" s="31"/>
      <c r="H146" s="46">
        <v>50000</v>
      </c>
      <c r="I146" s="29"/>
      <c r="J146" s="30">
        <f t="shared" si="49"/>
        <v>-50000</v>
      </c>
      <c r="K146" s="31"/>
      <c r="L146" s="46"/>
      <c r="M146" s="29"/>
      <c r="N146" s="30">
        <f t="shared" si="50"/>
        <v>0</v>
      </c>
      <c r="O146" s="31"/>
    </row>
    <row r="147" spans="1:15" s="8" customFormat="1">
      <c r="B147" s="44" t="s">
        <v>40</v>
      </c>
      <c r="C147" s="45"/>
      <c r="D147" s="46">
        <v>5250</v>
      </c>
      <c r="E147" s="29">
        <v>6220</v>
      </c>
      <c r="F147" s="30">
        <f t="shared" si="48"/>
        <v>970</v>
      </c>
      <c r="G147" s="31"/>
      <c r="H147" s="46">
        <v>1500</v>
      </c>
      <c r="I147" s="29"/>
      <c r="J147" s="30">
        <f t="shared" si="49"/>
        <v>-1500</v>
      </c>
      <c r="K147" s="31"/>
      <c r="L147" s="46">
        <v>1500</v>
      </c>
      <c r="M147" s="29"/>
      <c r="N147" s="30">
        <f t="shared" si="50"/>
        <v>-1500</v>
      </c>
      <c r="O147" s="31"/>
    </row>
    <row r="148" spans="1:15" s="8" customFormat="1">
      <c r="B148" s="44" t="s">
        <v>41</v>
      </c>
      <c r="C148" s="45"/>
      <c r="D148" s="46"/>
      <c r="E148" s="29"/>
      <c r="F148" s="30">
        <f t="shared" si="48"/>
        <v>0</v>
      </c>
      <c r="G148" s="31"/>
      <c r="H148" s="46">
        <v>7800</v>
      </c>
      <c r="I148" s="29"/>
      <c r="J148" s="30">
        <f t="shared" si="49"/>
        <v>-7800</v>
      </c>
      <c r="K148" s="31"/>
      <c r="L148" s="46"/>
      <c r="M148" s="29"/>
      <c r="N148" s="30">
        <f t="shared" si="50"/>
        <v>0</v>
      </c>
      <c r="O148" s="31"/>
    </row>
    <row r="149" spans="1:15" s="8" customFormat="1">
      <c r="B149" s="10"/>
      <c r="C149" s="45"/>
      <c r="D149" s="31"/>
      <c r="E149" s="31"/>
      <c r="F149" s="30"/>
      <c r="G149" s="31"/>
      <c r="H149" s="31"/>
      <c r="I149" s="31"/>
      <c r="J149" s="30"/>
      <c r="K149" s="31"/>
      <c r="L149" s="31"/>
      <c r="M149" s="31"/>
      <c r="N149" s="30"/>
      <c r="O149" s="31"/>
    </row>
    <row r="150" spans="1:15" s="8" customFormat="1">
      <c r="A150" s="99" t="s">
        <v>103</v>
      </c>
      <c r="B150" s="99"/>
      <c r="C150" s="45"/>
      <c r="D150" s="31"/>
      <c r="E150" s="31"/>
      <c r="F150" s="30"/>
      <c r="G150" s="31"/>
      <c r="H150" s="31"/>
      <c r="I150" s="31"/>
      <c r="J150" s="30"/>
      <c r="K150" s="31"/>
      <c r="L150" s="31"/>
      <c r="M150" s="31"/>
      <c r="N150" s="30"/>
      <c r="O150" s="31"/>
    </row>
    <row r="151" spans="1:15" s="8" customFormat="1">
      <c r="B151" s="44" t="s">
        <v>62</v>
      </c>
      <c r="C151" s="45"/>
      <c r="D151" s="46">
        <v>2900000</v>
      </c>
      <c r="E151" s="29"/>
      <c r="F151" s="30">
        <f t="shared" ref="F151:F161" si="51">E151-D151</f>
        <v>-2900000</v>
      </c>
      <c r="G151" s="1"/>
      <c r="H151" s="47">
        <v>1000000</v>
      </c>
      <c r="I151" s="29"/>
      <c r="J151" s="30">
        <f t="shared" ref="J151:J161" si="52">I151-H151</f>
        <v>-1000000</v>
      </c>
      <c r="K151" s="1"/>
      <c r="L151" s="46">
        <v>3500000</v>
      </c>
      <c r="M151" s="29"/>
      <c r="N151" s="30">
        <f t="shared" ref="N151:N161" si="53">M151-L151</f>
        <v>-3500000</v>
      </c>
      <c r="O151" s="1"/>
    </row>
    <row r="152" spans="1:15" s="8" customFormat="1">
      <c r="B152" s="44" t="s">
        <v>63</v>
      </c>
      <c r="C152" s="45"/>
      <c r="D152" s="46"/>
      <c r="E152" s="29"/>
      <c r="F152" s="30">
        <f t="shared" si="51"/>
        <v>0</v>
      </c>
      <c r="G152" s="31"/>
      <c r="H152" s="46"/>
      <c r="I152" s="29"/>
      <c r="J152" s="30">
        <f t="shared" si="52"/>
        <v>0</v>
      </c>
      <c r="K152" s="31"/>
      <c r="L152" s="46"/>
      <c r="M152" s="29"/>
      <c r="N152" s="30">
        <f t="shared" si="53"/>
        <v>0</v>
      </c>
      <c r="O152" s="31"/>
    </row>
    <row r="153" spans="1:15" s="8" customFormat="1">
      <c r="B153" s="44" t="s">
        <v>64</v>
      </c>
      <c r="C153" s="45"/>
      <c r="D153" s="46"/>
      <c r="E153" s="29"/>
      <c r="F153" s="30">
        <f t="shared" si="51"/>
        <v>0</v>
      </c>
      <c r="G153" s="31"/>
      <c r="H153" s="46"/>
      <c r="I153" s="29"/>
      <c r="J153" s="30">
        <f t="shared" si="52"/>
        <v>0</v>
      </c>
      <c r="K153" s="31"/>
      <c r="L153" s="46">
        <v>54332</v>
      </c>
      <c r="M153" s="29"/>
      <c r="N153" s="30">
        <f t="shared" si="53"/>
        <v>-54332</v>
      </c>
      <c r="O153" s="31"/>
    </row>
    <row r="154" spans="1:15" s="8" customFormat="1">
      <c r="B154" s="44" t="s">
        <v>65</v>
      </c>
      <c r="C154" s="45"/>
      <c r="D154" s="46"/>
      <c r="E154" s="29"/>
      <c r="F154" s="30">
        <f t="shared" si="51"/>
        <v>0</v>
      </c>
      <c r="G154" s="31"/>
      <c r="H154" s="46"/>
      <c r="I154" s="29"/>
      <c r="J154" s="30">
        <f t="shared" si="52"/>
        <v>0</v>
      </c>
      <c r="K154" s="31"/>
      <c r="L154" s="46"/>
      <c r="M154" s="29"/>
      <c r="N154" s="30">
        <f t="shared" si="53"/>
        <v>0</v>
      </c>
      <c r="O154" s="31"/>
    </row>
    <row r="155" spans="1:15" s="8" customFormat="1">
      <c r="B155" s="44" t="s">
        <v>66</v>
      </c>
      <c r="C155" s="45"/>
      <c r="D155" s="46"/>
      <c r="E155" s="29"/>
      <c r="F155" s="30">
        <f t="shared" si="51"/>
        <v>0</v>
      </c>
      <c r="G155" s="31"/>
      <c r="H155" s="46"/>
      <c r="I155" s="29"/>
      <c r="J155" s="30">
        <f t="shared" si="52"/>
        <v>0</v>
      </c>
      <c r="K155" s="31"/>
      <c r="L155" s="46"/>
      <c r="M155" s="29"/>
      <c r="N155" s="30">
        <f t="shared" si="53"/>
        <v>0</v>
      </c>
      <c r="O155" s="31"/>
    </row>
    <row r="156" spans="1:15" s="8" customFormat="1">
      <c r="B156" s="64" t="s">
        <v>67</v>
      </c>
      <c r="C156" s="45"/>
      <c r="D156" s="46">
        <v>450000</v>
      </c>
      <c r="E156" s="29"/>
      <c r="F156" s="30">
        <f t="shared" si="51"/>
        <v>-450000</v>
      </c>
      <c r="G156" s="31"/>
      <c r="H156" s="46">
        <v>450000</v>
      </c>
      <c r="I156" s="29"/>
      <c r="J156" s="30">
        <f t="shared" si="52"/>
        <v>-450000</v>
      </c>
      <c r="K156" s="31"/>
      <c r="L156" s="46"/>
      <c r="M156" s="29"/>
      <c r="N156" s="30">
        <f t="shared" si="53"/>
        <v>0</v>
      </c>
      <c r="O156" s="31"/>
    </row>
    <row r="157" spans="1:15" s="8" customFormat="1">
      <c r="B157" s="64" t="s">
        <v>68</v>
      </c>
      <c r="C157" s="45"/>
      <c r="D157" s="46"/>
      <c r="E157" s="29"/>
      <c r="F157" s="30">
        <f t="shared" si="51"/>
        <v>0</v>
      </c>
      <c r="G157" s="1"/>
      <c r="H157" s="46"/>
      <c r="I157" s="29"/>
      <c r="J157" s="30">
        <f t="shared" si="52"/>
        <v>0</v>
      </c>
      <c r="K157" s="31"/>
      <c r="L157" s="46"/>
      <c r="M157" s="29"/>
      <c r="N157" s="30">
        <f t="shared" si="53"/>
        <v>0</v>
      </c>
      <c r="O157" s="1"/>
    </row>
    <row r="158" spans="1:15" s="8" customFormat="1">
      <c r="B158" s="65" t="s">
        <v>69</v>
      </c>
      <c r="C158" s="45"/>
      <c r="D158" s="46"/>
      <c r="E158" s="29"/>
      <c r="F158" s="30">
        <f t="shared" si="51"/>
        <v>0</v>
      </c>
      <c r="G158" s="1"/>
      <c r="H158" s="46"/>
      <c r="I158" s="29"/>
      <c r="J158" s="30">
        <f t="shared" si="52"/>
        <v>0</v>
      </c>
      <c r="K158" s="31"/>
      <c r="L158" s="46"/>
      <c r="M158" s="29"/>
      <c r="N158" s="30">
        <f t="shared" si="53"/>
        <v>0</v>
      </c>
      <c r="O158" s="31"/>
    </row>
    <row r="159" spans="1:15" s="8" customFormat="1">
      <c r="B159" s="63" t="s">
        <v>70</v>
      </c>
      <c r="C159" s="45"/>
      <c r="D159" s="46"/>
      <c r="E159" s="29"/>
      <c r="F159" s="30">
        <f t="shared" si="51"/>
        <v>0</v>
      </c>
      <c r="G159" s="31"/>
      <c r="H159" s="46"/>
      <c r="I159" s="29"/>
      <c r="J159" s="30">
        <f t="shared" si="52"/>
        <v>0</v>
      </c>
      <c r="K159" s="31"/>
      <c r="L159" s="46"/>
      <c r="M159" s="29"/>
      <c r="N159" s="30">
        <f t="shared" si="53"/>
        <v>0</v>
      </c>
      <c r="O159" s="31"/>
    </row>
    <row r="160" spans="1:15" s="8" customFormat="1">
      <c r="B160" s="44" t="s">
        <v>71</v>
      </c>
      <c r="C160" s="45"/>
      <c r="D160" s="46">
        <v>5250</v>
      </c>
      <c r="E160" s="29">
        <v>6220</v>
      </c>
      <c r="F160" s="30">
        <f t="shared" si="51"/>
        <v>970</v>
      </c>
      <c r="G160" s="31"/>
      <c r="H160" s="46">
        <v>1500</v>
      </c>
      <c r="I160" s="29"/>
      <c r="J160" s="30">
        <f t="shared" si="52"/>
        <v>-1500</v>
      </c>
      <c r="K160" s="31"/>
      <c r="L160" s="46">
        <v>1500</v>
      </c>
      <c r="M160" s="29"/>
      <c r="N160" s="30">
        <f t="shared" si="53"/>
        <v>-1500</v>
      </c>
      <c r="O160" s="31"/>
    </row>
    <row r="161" spans="1:15" s="8" customFormat="1">
      <c r="B161" s="44" t="s">
        <v>105</v>
      </c>
      <c r="C161" s="45"/>
      <c r="D161" s="46"/>
      <c r="E161" s="29"/>
      <c r="F161" s="30">
        <f t="shared" si="51"/>
        <v>0</v>
      </c>
      <c r="G161" s="31"/>
      <c r="H161" s="46"/>
      <c r="I161" s="29"/>
      <c r="J161" s="30">
        <f t="shared" si="52"/>
        <v>0</v>
      </c>
      <c r="K161" s="31"/>
      <c r="L161" s="46"/>
      <c r="M161" s="29"/>
      <c r="N161" s="30">
        <f t="shared" si="53"/>
        <v>0</v>
      </c>
      <c r="O161" s="31"/>
    </row>
    <row r="162" spans="1:15" s="8" customFormat="1">
      <c r="B162" s="44"/>
      <c r="C162" s="45"/>
      <c r="D162" s="31"/>
      <c r="E162" s="31"/>
      <c r="F162" s="30"/>
      <c r="G162" s="31"/>
      <c r="H162" s="31"/>
      <c r="I162" s="31"/>
      <c r="J162" s="30"/>
      <c r="K162" s="31"/>
      <c r="L162" s="31"/>
      <c r="M162" s="31"/>
      <c r="N162" s="30"/>
      <c r="O162" s="31"/>
    </row>
    <row r="163" spans="1:15" s="8" customFormat="1">
      <c r="A163" s="101" t="s">
        <v>100</v>
      </c>
      <c r="B163" s="101"/>
      <c r="C163" s="45"/>
      <c r="D163" s="31"/>
      <c r="E163" s="31"/>
      <c r="F163" s="30"/>
      <c r="G163" s="31"/>
      <c r="H163" s="31"/>
      <c r="I163" s="31"/>
      <c r="J163" s="30"/>
      <c r="K163" s="31"/>
      <c r="L163" s="31"/>
      <c r="M163" s="31"/>
      <c r="N163" s="30"/>
      <c r="O163" s="31"/>
    </row>
    <row r="164" spans="1:15" s="8" customFormat="1">
      <c r="B164" s="64" t="s">
        <v>42</v>
      </c>
      <c r="C164" s="45"/>
      <c r="D164" s="46"/>
      <c r="E164" s="29"/>
      <c r="F164" s="30">
        <f t="shared" ref="F164:F166" si="54">E164-D164</f>
        <v>0</v>
      </c>
      <c r="G164" s="31"/>
      <c r="H164" s="46">
        <v>10000</v>
      </c>
      <c r="I164" s="29"/>
      <c r="J164" s="30">
        <f t="shared" ref="J164:J166" si="55">I164-H164</f>
        <v>-10000</v>
      </c>
      <c r="K164" s="31"/>
      <c r="L164" s="46">
        <v>10000</v>
      </c>
      <c r="M164" s="29"/>
      <c r="N164" s="30">
        <f t="shared" ref="N164:N166" si="56">M164-L164</f>
        <v>-10000</v>
      </c>
      <c r="O164" s="1"/>
    </row>
    <row r="165" spans="1:15" s="8" customFormat="1">
      <c r="B165" s="64" t="s">
        <v>43</v>
      </c>
      <c r="C165" s="45"/>
      <c r="D165" s="46"/>
      <c r="E165" s="29"/>
      <c r="F165" s="30">
        <f t="shared" si="54"/>
        <v>0</v>
      </c>
      <c r="G165" s="31"/>
      <c r="H165" s="46"/>
      <c r="I165" s="29"/>
      <c r="J165" s="30">
        <f t="shared" si="55"/>
        <v>0</v>
      </c>
      <c r="K165" s="31"/>
      <c r="L165" s="46"/>
      <c r="M165" s="29"/>
      <c r="N165" s="30">
        <f t="shared" si="56"/>
        <v>0</v>
      </c>
      <c r="O165" s="31"/>
    </row>
    <row r="166" spans="1:15" s="8" customFormat="1">
      <c r="B166" s="64" t="s">
        <v>44</v>
      </c>
      <c r="C166" s="45"/>
      <c r="D166" s="46"/>
      <c r="E166" s="29"/>
      <c r="F166" s="30">
        <f t="shared" si="54"/>
        <v>0</v>
      </c>
      <c r="G166" s="31"/>
      <c r="H166" s="46"/>
      <c r="I166" s="29"/>
      <c r="J166" s="30">
        <f t="shared" si="55"/>
        <v>0</v>
      </c>
      <c r="K166" s="31"/>
      <c r="L166" s="46"/>
      <c r="M166" s="29"/>
      <c r="N166" s="30">
        <f t="shared" si="56"/>
        <v>0</v>
      </c>
      <c r="O166" s="31"/>
    </row>
    <row r="167" spans="1:15" s="8" customFormat="1">
      <c r="B167" s="10"/>
      <c r="C167" s="45"/>
      <c r="D167" s="31"/>
      <c r="E167" s="31"/>
      <c r="F167" s="30"/>
      <c r="G167" s="31"/>
      <c r="H167" s="31"/>
      <c r="I167" s="31"/>
      <c r="J167" s="30"/>
      <c r="K167" s="31"/>
      <c r="L167" s="31"/>
      <c r="M167" s="31"/>
      <c r="N167" s="30"/>
      <c r="O167" s="31"/>
    </row>
    <row r="168" spans="1:15" s="8" customFormat="1">
      <c r="B168" s="66" t="s">
        <v>45</v>
      </c>
      <c r="C168" s="45"/>
      <c r="D168" s="31"/>
      <c r="E168" s="31"/>
      <c r="F168" s="30"/>
      <c r="G168" s="31"/>
      <c r="H168" s="31"/>
      <c r="I168" s="31"/>
      <c r="J168" s="30"/>
      <c r="K168" s="31"/>
      <c r="L168" s="31"/>
      <c r="M168" s="31"/>
      <c r="N168" s="30"/>
      <c r="O168" s="31"/>
    </row>
    <row r="169" spans="1:15" s="8" customFormat="1">
      <c r="B169" s="44" t="s">
        <v>106</v>
      </c>
      <c r="C169" s="45"/>
      <c r="D169" s="46">
        <v>0</v>
      </c>
      <c r="E169" s="29">
        <v>0</v>
      </c>
      <c r="F169" s="30">
        <f t="shared" ref="F169:F172" si="57">E169-D169</f>
        <v>0</v>
      </c>
      <c r="G169" s="1"/>
      <c r="H169" s="46">
        <v>1300000</v>
      </c>
      <c r="I169" s="29"/>
      <c r="J169" s="30">
        <f t="shared" ref="J169:J172" si="58">I169-H169</f>
        <v>-1300000</v>
      </c>
      <c r="K169" s="1"/>
      <c r="L169" s="46">
        <v>300000</v>
      </c>
      <c r="M169" s="29"/>
      <c r="N169" s="30">
        <f t="shared" ref="N169:N172" si="59">M169-L169</f>
        <v>-300000</v>
      </c>
      <c r="O169" s="1"/>
    </row>
    <row r="170" spans="1:15" s="8" customFormat="1">
      <c r="B170" s="44" t="s">
        <v>63</v>
      </c>
      <c r="C170" s="45"/>
      <c r="D170" s="46"/>
      <c r="E170" s="29"/>
      <c r="F170" s="30">
        <f t="shared" si="57"/>
        <v>0</v>
      </c>
      <c r="G170" s="1"/>
      <c r="H170" s="46"/>
      <c r="I170" s="29"/>
      <c r="J170" s="30">
        <f t="shared" si="58"/>
        <v>0</v>
      </c>
      <c r="K170" s="31"/>
      <c r="L170" s="46"/>
      <c r="M170" s="29"/>
      <c r="N170" s="30">
        <f t="shared" si="59"/>
        <v>0</v>
      </c>
      <c r="O170" s="31"/>
    </row>
    <row r="171" spans="1:15" s="8" customFormat="1">
      <c r="B171" s="44" t="s">
        <v>64</v>
      </c>
      <c r="C171" s="45"/>
      <c r="D171" s="46"/>
      <c r="E171" s="29"/>
      <c r="F171" s="30">
        <f t="shared" si="57"/>
        <v>0</v>
      </c>
      <c r="G171" s="31"/>
      <c r="H171" s="46"/>
      <c r="I171" s="29"/>
      <c r="J171" s="30">
        <f t="shared" si="58"/>
        <v>0</v>
      </c>
      <c r="K171" s="31"/>
      <c r="L171" s="46"/>
      <c r="M171" s="29"/>
      <c r="N171" s="30">
        <f t="shared" si="59"/>
        <v>0</v>
      </c>
      <c r="O171" s="31"/>
    </row>
    <row r="172" spans="1:15" s="8" customFormat="1">
      <c r="B172" s="44" t="s">
        <v>65</v>
      </c>
      <c r="C172" s="45"/>
      <c r="D172" s="46"/>
      <c r="E172" s="29"/>
      <c r="F172" s="30">
        <f t="shared" si="57"/>
        <v>0</v>
      </c>
      <c r="G172" s="31"/>
      <c r="H172" s="46"/>
      <c r="I172" s="29"/>
      <c r="J172" s="30">
        <f t="shared" si="58"/>
        <v>0</v>
      </c>
      <c r="K172" s="31"/>
      <c r="L172" s="46"/>
      <c r="M172" s="29"/>
      <c r="N172" s="30">
        <f t="shared" si="59"/>
        <v>0</v>
      </c>
      <c r="O172" s="31"/>
    </row>
    <row r="173" spans="1:15" ht="15" thickBot="1"/>
    <row r="174" spans="1:15" s="39" customFormat="1" ht="15" thickBot="1">
      <c r="A174" s="27"/>
      <c r="B174" s="67" t="s">
        <v>46</v>
      </c>
      <c r="C174" s="36"/>
      <c r="D174" s="68">
        <f>SUM(D76:D172)</f>
        <v>21207027.68</v>
      </c>
      <c r="E174" s="69">
        <f>SUM(E76:E172)</f>
        <v>17929590.68</v>
      </c>
      <c r="F174" s="30">
        <f>E174-D174</f>
        <v>-3277437</v>
      </c>
      <c r="G174" s="38"/>
      <c r="H174" s="68">
        <f>SUM(H76:H172)</f>
        <v>8484515</v>
      </c>
      <c r="I174" s="69">
        <f>SUM(I76:I172)</f>
        <v>0</v>
      </c>
      <c r="J174" s="30">
        <f>I174-H174</f>
        <v>-8484515</v>
      </c>
      <c r="K174" s="38"/>
      <c r="L174" s="68">
        <f>SUM(L76:L172)</f>
        <v>10625244</v>
      </c>
      <c r="M174" s="69">
        <f>SUM(M76:M172)</f>
        <v>0</v>
      </c>
      <c r="N174" s="30">
        <f>M174-L174</f>
        <v>-10625244</v>
      </c>
      <c r="O174" s="38"/>
    </row>
    <row r="175" spans="1:15" ht="21" customHeight="1" thickBot="1">
      <c r="A175" s="57"/>
      <c r="B175" s="57"/>
      <c r="C175" s="57"/>
      <c r="D175" s="58"/>
      <c r="E175" s="58"/>
      <c r="F175" s="59"/>
      <c r="G175" s="58"/>
      <c r="H175" s="58"/>
      <c r="I175" s="58"/>
      <c r="J175" s="59"/>
      <c r="K175" s="58"/>
      <c r="L175" s="58"/>
      <c r="M175" s="58"/>
      <c r="N175" s="59"/>
      <c r="O175" s="58"/>
    </row>
    <row r="176" spans="1:15" ht="26.5" customHeight="1" thickTop="1" thickBot="1">
      <c r="D176" s="31"/>
      <c r="E176" s="31"/>
      <c r="F176" s="30"/>
      <c r="G176" s="31"/>
      <c r="H176" s="31"/>
      <c r="I176" s="31"/>
      <c r="J176" s="30"/>
      <c r="K176" s="31"/>
      <c r="L176" s="31"/>
      <c r="M176" s="31"/>
      <c r="N176" s="30"/>
      <c r="O176" s="31"/>
    </row>
    <row r="177" spans="1:15" s="8" customFormat="1" ht="19" thickBot="1">
      <c r="A177" s="94" t="s">
        <v>47</v>
      </c>
      <c r="B177" s="95"/>
      <c r="C177" s="7"/>
      <c r="D177" s="70">
        <f>D70-D174</f>
        <v>870010.55999999866</v>
      </c>
      <c r="E177" s="70">
        <f>E70-E174</f>
        <v>571058.67199999839</v>
      </c>
      <c r="F177" s="30">
        <f>E177-D177</f>
        <v>-298951.88800000027</v>
      </c>
      <c r="G177" s="38"/>
      <c r="H177" s="70">
        <f>H70-H174</f>
        <v>1172592.6719999984</v>
      </c>
      <c r="I177" s="70">
        <f>I70-I174</f>
        <v>0</v>
      </c>
      <c r="J177" s="30">
        <f>I177-H177</f>
        <v>-1172592.6719999984</v>
      </c>
      <c r="K177" s="38"/>
      <c r="L177" s="70">
        <f>L70-L174</f>
        <v>-931580.32800000161</v>
      </c>
      <c r="M177" s="70">
        <f>M70-M174</f>
        <v>0</v>
      </c>
      <c r="N177" s="30">
        <f>M177-L177</f>
        <v>931580.32800000161</v>
      </c>
      <c r="O177" s="38"/>
    </row>
    <row r="178" spans="1:15" s="8" customFormat="1">
      <c r="A178" s="7"/>
      <c r="B178" s="7"/>
      <c r="C178" s="71"/>
      <c r="D178" s="31"/>
      <c r="E178" s="31"/>
      <c r="F178" s="30"/>
      <c r="G178" s="31"/>
      <c r="H178" s="31"/>
      <c r="I178" s="31"/>
      <c r="J178" s="30"/>
      <c r="K178" s="31"/>
      <c r="L178" s="31"/>
      <c r="M178" s="31"/>
      <c r="N178" s="30"/>
      <c r="O178" s="31"/>
    </row>
    <row r="97926" spans="2:14" s="8" customFormat="1">
      <c r="B97926" s="72">
        <v>43658</v>
      </c>
      <c r="F97926" s="9"/>
      <c r="J97926" s="9"/>
      <c r="N97926" s="9"/>
    </row>
    <row r="124599" spans="2:14" s="73" customFormat="1">
      <c r="B124599" s="72">
        <v>44432</v>
      </c>
      <c r="F124599" s="74"/>
      <c r="J124599" s="74"/>
      <c r="N124599" s="74"/>
    </row>
    <row r="124600" spans="2:14">
      <c r="B124600" s="60">
        <v>44432</v>
      </c>
    </row>
    <row r="124601" spans="2:14">
      <c r="B124601" s="60">
        <v>44432</v>
      </c>
    </row>
    <row r="124602" spans="2:14" s="73" customFormat="1">
      <c r="B124602" s="72">
        <v>44432</v>
      </c>
      <c r="F124602" s="74"/>
      <c r="J124602" s="74"/>
      <c r="N124602" s="74"/>
    </row>
    <row r="124603" spans="2:14" s="73" customFormat="1">
      <c r="B124603" s="72">
        <v>44432</v>
      </c>
      <c r="F124603" s="74"/>
      <c r="J124603" s="74"/>
      <c r="N124603" s="74"/>
    </row>
    <row r="124604" spans="2:14" s="73" customFormat="1">
      <c r="B124604" s="72">
        <v>44432</v>
      </c>
      <c r="F124604" s="74"/>
      <c r="J124604" s="74"/>
      <c r="N124604" s="74"/>
    </row>
    <row r="124605" spans="2:14" s="73" customFormat="1">
      <c r="B124605" s="72">
        <v>44432</v>
      </c>
      <c r="F124605" s="74"/>
      <c r="J124605" s="74"/>
      <c r="N124605" s="74"/>
    </row>
    <row r="124606" spans="2:14" s="73" customFormat="1">
      <c r="B124606" s="72">
        <v>44432</v>
      </c>
      <c r="F124606" s="74"/>
      <c r="J124606" s="74"/>
      <c r="N124606" s="74"/>
    </row>
    <row r="124607" spans="2:14" s="73" customFormat="1">
      <c r="B124607" s="72">
        <v>44432</v>
      </c>
      <c r="F124607" s="74"/>
      <c r="J124607" s="74"/>
      <c r="N124607" s="74"/>
    </row>
    <row r="124608" spans="2:14" s="73" customFormat="1">
      <c r="B124608" s="72">
        <v>44432</v>
      </c>
      <c r="F124608" s="74"/>
      <c r="J124608" s="74"/>
      <c r="N124608" s="74"/>
    </row>
    <row r="124609" spans="2:14" s="73" customFormat="1">
      <c r="B124609" s="72">
        <v>44432</v>
      </c>
      <c r="F124609" s="74"/>
      <c r="J124609" s="74"/>
      <c r="N124609" s="74"/>
    </row>
    <row r="124610" spans="2:14" s="73" customFormat="1">
      <c r="B124610" s="72">
        <v>44432</v>
      </c>
      <c r="F124610" s="74"/>
      <c r="J124610" s="74"/>
      <c r="N124610" s="74"/>
    </row>
    <row r="124611" spans="2:14" s="73" customFormat="1">
      <c r="B124611" s="72">
        <v>44432</v>
      </c>
      <c r="F124611" s="74"/>
      <c r="J124611" s="74"/>
      <c r="N124611" s="74"/>
    </row>
    <row r="124612" spans="2:14" s="73" customFormat="1">
      <c r="B124612" s="72">
        <v>44432</v>
      </c>
      <c r="F124612" s="74"/>
      <c r="J124612" s="74"/>
      <c r="N124612" s="74"/>
    </row>
    <row r="124613" spans="2:14" s="73" customFormat="1">
      <c r="B124613" s="72">
        <v>44432</v>
      </c>
      <c r="F124613" s="74"/>
      <c r="J124613" s="74"/>
      <c r="N124613" s="74"/>
    </row>
    <row r="124614" spans="2:14" s="73" customFormat="1">
      <c r="B124614" s="72">
        <v>44432</v>
      </c>
      <c r="F124614" s="74"/>
      <c r="J124614" s="74"/>
      <c r="N124614" s="74"/>
    </row>
    <row r="124615" spans="2:14" s="73" customFormat="1">
      <c r="B124615" s="72">
        <v>44432</v>
      </c>
      <c r="F124615" s="74"/>
      <c r="J124615" s="74"/>
      <c r="N124615" s="74"/>
    </row>
    <row r="124616" spans="2:14" s="73" customFormat="1">
      <c r="B124616" s="72">
        <v>44432</v>
      </c>
      <c r="F124616" s="74"/>
      <c r="J124616" s="74"/>
      <c r="N124616" s="74"/>
    </row>
    <row r="124617" spans="2:14" s="73" customFormat="1">
      <c r="B124617" s="72">
        <v>44432</v>
      </c>
      <c r="F124617" s="74"/>
      <c r="J124617" s="74"/>
      <c r="N124617" s="74"/>
    </row>
    <row r="124618" spans="2:14" s="73" customFormat="1">
      <c r="B124618" s="72">
        <v>44432</v>
      </c>
      <c r="F124618" s="74"/>
      <c r="J124618" s="74"/>
      <c r="N124618" s="74"/>
    </row>
    <row r="124619" spans="2:14" s="73" customFormat="1">
      <c r="B124619" s="72">
        <v>44432</v>
      </c>
      <c r="F124619" s="74"/>
      <c r="J124619" s="74"/>
      <c r="N124619" s="74"/>
    </row>
    <row r="124620" spans="2:14" s="73" customFormat="1">
      <c r="B124620" s="72">
        <v>44432</v>
      </c>
      <c r="F124620" s="74"/>
      <c r="J124620" s="74"/>
      <c r="N124620" s="74"/>
    </row>
    <row r="124621" spans="2:14" s="73" customFormat="1">
      <c r="B124621" s="72">
        <v>44432</v>
      </c>
      <c r="F124621" s="74"/>
      <c r="J124621" s="74"/>
      <c r="N124621" s="74"/>
    </row>
    <row r="124622" spans="2:14" s="73" customFormat="1">
      <c r="B124622" s="72">
        <v>44432</v>
      </c>
      <c r="F124622" s="74"/>
      <c r="J124622" s="74"/>
      <c r="N124622" s="74"/>
    </row>
    <row r="124623" spans="2:14" s="73" customFormat="1">
      <c r="B124623" s="72">
        <v>44432</v>
      </c>
      <c r="F124623" s="74"/>
      <c r="J124623" s="74"/>
      <c r="N124623" s="74"/>
    </row>
    <row r="124624" spans="2:14" s="73" customFormat="1">
      <c r="B124624" s="72">
        <v>44432</v>
      </c>
      <c r="F124624" s="74"/>
      <c r="J124624" s="74"/>
      <c r="N124624" s="74"/>
    </row>
    <row r="124625" spans="2:14" s="73" customFormat="1">
      <c r="B124625" s="72">
        <v>44432</v>
      </c>
      <c r="F124625" s="74"/>
      <c r="J124625" s="74"/>
      <c r="N124625" s="74"/>
    </row>
    <row r="124626" spans="2:14" s="73" customFormat="1">
      <c r="B124626" s="72">
        <v>44432</v>
      </c>
      <c r="F124626" s="74"/>
      <c r="J124626" s="74"/>
      <c r="N124626" s="74"/>
    </row>
    <row r="124627" spans="2:14" s="73" customFormat="1">
      <c r="B124627" s="72">
        <v>44432</v>
      </c>
      <c r="F124627" s="74"/>
      <c r="J124627" s="74"/>
      <c r="N124627" s="74"/>
    </row>
    <row r="124628" spans="2:14" s="73" customFormat="1">
      <c r="B124628" s="72">
        <v>44432</v>
      </c>
      <c r="F124628" s="74"/>
      <c r="J124628" s="74"/>
      <c r="N124628" s="74"/>
    </row>
    <row r="124629" spans="2:14" s="73" customFormat="1">
      <c r="B124629" s="72">
        <v>44432</v>
      </c>
      <c r="F124629" s="74"/>
      <c r="J124629" s="74"/>
      <c r="N124629" s="74"/>
    </row>
    <row r="124630" spans="2:14" s="73" customFormat="1">
      <c r="B124630" s="72">
        <v>44432</v>
      </c>
      <c r="F124630" s="74"/>
      <c r="J124630" s="74"/>
      <c r="N124630" s="74"/>
    </row>
    <row r="124631" spans="2:14" s="73" customFormat="1">
      <c r="B124631" s="72">
        <v>44432</v>
      </c>
      <c r="F124631" s="74"/>
      <c r="J124631" s="74"/>
      <c r="N124631" s="74"/>
    </row>
    <row r="124632" spans="2:14" s="73" customFormat="1">
      <c r="B124632" s="72">
        <v>44432</v>
      </c>
      <c r="F124632" s="74"/>
      <c r="J124632" s="74"/>
      <c r="N124632" s="74"/>
    </row>
    <row r="124633" spans="2:14" s="73" customFormat="1">
      <c r="B124633" s="72">
        <v>44432</v>
      </c>
      <c r="F124633" s="74"/>
      <c r="J124633" s="74"/>
      <c r="N124633" s="74"/>
    </row>
    <row r="124634" spans="2:14" s="73" customFormat="1">
      <c r="B124634" s="72">
        <v>44432</v>
      </c>
      <c r="F124634" s="74"/>
      <c r="J124634" s="74"/>
      <c r="N124634" s="74"/>
    </row>
    <row r="124635" spans="2:14" s="73" customFormat="1">
      <c r="B124635" s="72">
        <v>44432</v>
      </c>
      <c r="F124635" s="74"/>
      <c r="J124635" s="74"/>
      <c r="N124635" s="74"/>
    </row>
    <row r="124636" spans="2:14" s="73" customFormat="1">
      <c r="B124636" s="72">
        <v>44432</v>
      </c>
      <c r="F124636" s="74"/>
      <c r="J124636" s="74"/>
      <c r="N124636" s="74"/>
    </row>
    <row r="124637" spans="2:14" s="73" customFormat="1">
      <c r="B124637" s="72">
        <v>44432</v>
      </c>
      <c r="F124637" s="74"/>
      <c r="J124637" s="74"/>
      <c r="N124637" s="74"/>
    </row>
    <row r="124638" spans="2:14" s="73" customFormat="1">
      <c r="B124638" s="72">
        <v>44432</v>
      </c>
      <c r="F124638" s="74"/>
      <c r="J124638" s="74"/>
      <c r="N124638" s="74"/>
    </row>
    <row r="124639" spans="2:14" s="73" customFormat="1">
      <c r="B124639" s="72">
        <v>44432</v>
      </c>
      <c r="F124639" s="74"/>
      <c r="J124639" s="74"/>
      <c r="N124639" s="74"/>
    </row>
    <row r="124640" spans="2:14" s="73" customFormat="1">
      <c r="B124640" s="72">
        <v>44432</v>
      </c>
      <c r="F124640" s="74"/>
      <c r="J124640" s="74"/>
      <c r="N124640" s="74"/>
    </row>
    <row r="124641" spans="2:14" s="73" customFormat="1">
      <c r="B124641" s="72">
        <v>44432</v>
      </c>
      <c r="F124641" s="74"/>
      <c r="J124641" s="74"/>
      <c r="N124641" s="74"/>
    </row>
    <row r="124642" spans="2:14" s="73" customFormat="1">
      <c r="B124642" s="72">
        <v>44432</v>
      </c>
      <c r="F124642" s="74"/>
      <c r="J124642" s="74"/>
      <c r="N124642" s="74"/>
    </row>
    <row r="124643" spans="2:14">
      <c r="B124643" s="72">
        <v>44432</v>
      </c>
    </row>
    <row r="126432" spans="2:14" s="75" customFormat="1">
      <c r="B126432" s="76">
        <v>44483</v>
      </c>
      <c r="F126432" s="77"/>
      <c r="J126432" s="77"/>
      <c r="N126432" s="77"/>
    </row>
    <row r="126433" spans="2:14" s="75" customFormat="1">
      <c r="B126433" s="76">
        <v>44483</v>
      </c>
      <c r="F126433" s="77"/>
      <c r="J126433" s="77"/>
      <c r="N126433" s="77"/>
    </row>
    <row r="126434" spans="2:14" s="75" customFormat="1">
      <c r="B126434" s="76">
        <v>44483</v>
      </c>
      <c r="F126434" s="77"/>
      <c r="J126434" s="77"/>
      <c r="N126434" s="77"/>
    </row>
    <row r="126435" spans="2:14" s="75" customFormat="1">
      <c r="B126435" s="76">
        <v>44483</v>
      </c>
      <c r="F126435" s="77"/>
      <c r="J126435" s="77"/>
      <c r="N126435" s="77"/>
    </row>
    <row r="126436" spans="2:14" s="75" customFormat="1">
      <c r="B126436" s="76">
        <v>44483</v>
      </c>
      <c r="F126436" s="77"/>
      <c r="J126436" s="77"/>
      <c r="N126436" s="77"/>
    </row>
    <row r="126437" spans="2:14" s="75" customFormat="1">
      <c r="B126437" s="76">
        <v>44483</v>
      </c>
      <c r="F126437" s="77"/>
      <c r="J126437" s="77"/>
      <c r="N126437" s="77"/>
    </row>
    <row r="126438" spans="2:14" s="75" customFormat="1">
      <c r="B126438" s="76">
        <v>44483</v>
      </c>
      <c r="F126438" s="77"/>
      <c r="J126438" s="77"/>
      <c r="N126438" s="77"/>
    </row>
    <row r="126439" spans="2:14" s="75" customFormat="1">
      <c r="B126439" s="76">
        <v>44483</v>
      </c>
      <c r="F126439" s="77"/>
      <c r="J126439" s="77"/>
      <c r="N126439" s="77"/>
    </row>
    <row r="126440" spans="2:14" s="75" customFormat="1">
      <c r="B126440" s="76">
        <v>44483</v>
      </c>
      <c r="F126440" s="77"/>
      <c r="J126440" s="77"/>
      <c r="N126440" s="77"/>
    </row>
    <row r="126441" spans="2:14">
      <c r="B126441" s="76">
        <v>44483</v>
      </c>
    </row>
    <row r="126442" spans="2:14" s="75" customFormat="1">
      <c r="B126442" s="76">
        <v>44483</v>
      </c>
      <c r="F126442" s="77"/>
      <c r="J126442" s="77"/>
      <c r="N126442" s="77"/>
    </row>
    <row r="126443" spans="2:14" s="75" customFormat="1">
      <c r="B126443" s="76">
        <v>44483</v>
      </c>
      <c r="F126443" s="77"/>
      <c r="J126443" s="77"/>
      <c r="N126443" s="77"/>
    </row>
    <row r="126444" spans="2:14" s="75" customFormat="1">
      <c r="B126444" s="76">
        <v>44483</v>
      </c>
      <c r="F126444" s="77"/>
      <c r="J126444" s="77"/>
      <c r="N126444" s="77"/>
    </row>
    <row r="126445" spans="2:14" s="75" customFormat="1">
      <c r="B126445" s="76">
        <v>44483</v>
      </c>
      <c r="F126445" s="77"/>
      <c r="J126445" s="77"/>
      <c r="N126445" s="77"/>
    </row>
    <row r="126446" spans="2:14" s="75" customFormat="1">
      <c r="B126446" s="76">
        <v>44483</v>
      </c>
      <c r="F126446" s="77"/>
      <c r="J126446" s="77"/>
      <c r="N126446" s="77"/>
    </row>
    <row r="126447" spans="2:14">
      <c r="B126447" s="76">
        <v>44483</v>
      </c>
    </row>
    <row r="126448" spans="2:14">
      <c r="B126448" s="76">
        <v>44483</v>
      </c>
    </row>
    <row r="126449" spans="2:14">
      <c r="B126449" s="76">
        <v>44483</v>
      </c>
    </row>
    <row r="126450" spans="2:14">
      <c r="B126450" s="76">
        <v>44483</v>
      </c>
    </row>
    <row r="126451" spans="2:14" s="75" customFormat="1">
      <c r="B126451" s="76">
        <v>44483</v>
      </c>
      <c r="F126451" s="77"/>
      <c r="J126451" s="77"/>
      <c r="N126451" s="77"/>
    </row>
    <row r="126452" spans="2:14" s="75" customFormat="1">
      <c r="B126452" s="76">
        <v>44483</v>
      </c>
      <c r="F126452" s="77"/>
      <c r="J126452" s="77"/>
      <c r="N126452" s="77"/>
    </row>
    <row r="126453" spans="2:14" s="75" customFormat="1">
      <c r="B126453" s="76">
        <v>44483</v>
      </c>
      <c r="F126453" s="77"/>
      <c r="J126453" s="77"/>
      <c r="N126453" s="77"/>
    </row>
    <row r="126454" spans="2:14" s="75" customFormat="1">
      <c r="B126454" s="76">
        <v>44483</v>
      </c>
      <c r="F126454" s="77"/>
      <c r="J126454" s="77"/>
      <c r="N126454" s="77"/>
    </row>
    <row r="126455" spans="2:14" s="75" customFormat="1">
      <c r="B126455" s="76">
        <v>44483</v>
      </c>
      <c r="F126455" s="77"/>
      <c r="J126455" s="77"/>
      <c r="N126455" s="77"/>
    </row>
    <row r="126456" spans="2:14" s="75" customFormat="1">
      <c r="B126456" s="76">
        <v>44483</v>
      </c>
      <c r="F126456" s="77"/>
      <c r="J126456" s="77"/>
      <c r="N126456" s="77"/>
    </row>
    <row r="126457" spans="2:14" s="75" customFormat="1">
      <c r="B126457" s="76">
        <v>44483</v>
      </c>
      <c r="F126457" s="77"/>
      <c r="J126457" s="77"/>
      <c r="N126457" s="77"/>
    </row>
    <row r="126458" spans="2:14" s="75" customFormat="1">
      <c r="B126458" s="76">
        <v>44483</v>
      </c>
      <c r="F126458" s="77"/>
      <c r="J126458" s="77"/>
      <c r="N126458" s="77"/>
    </row>
    <row r="126459" spans="2:14" s="75" customFormat="1">
      <c r="B126459" s="76">
        <v>44483</v>
      </c>
      <c r="F126459" s="77"/>
      <c r="J126459" s="77"/>
      <c r="N126459" s="77"/>
    </row>
    <row r="126460" spans="2:14" s="75" customFormat="1">
      <c r="B126460" s="76">
        <v>44483</v>
      </c>
      <c r="F126460" s="77"/>
      <c r="J126460" s="77"/>
      <c r="N126460" s="77"/>
    </row>
    <row r="126461" spans="2:14" s="75" customFormat="1">
      <c r="B126461" s="76">
        <v>44483</v>
      </c>
      <c r="F126461" s="77"/>
      <c r="J126461" s="77"/>
      <c r="N126461" s="77"/>
    </row>
    <row r="126462" spans="2:14" s="75" customFormat="1">
      <c r="B126462" s="76">
        <v>44483</v>
      </c>
      <c r="F126462" s="77"/>
      <c r="J126462" s="77"/>
      <c r="N126462" s="77"/>
    </row>
    <row r="126463" spans="2:14" s="75" customFormat="1">
      <c r="B126463" s="76">
        <v>44483</v>
      </c>
      <c r="F126463" s="77"/>
      <c r="J126463" s="77"/>
      <c r="N126463" s="77"/>
    </row>
    <row r="126464" spans="2:14" s="75" customFormat="1">
      <c r="B126464" s="76">
        <v>44483</v>
      </c>
      <c r="F126464" s="77"/>
      <c r="J126464" s="77"/>
      <c r="N126464" s="77"/>
    </row>
    <row r="126465" spans="2:14" s="75" customFormat="1">
      <c r="B126465" s="76">
        <v>44483</v>
      </c>
      <c r="F126465" s="77"/>
      <c r="J126465" s="77"/>
      <c r="N126465" s="77"/>
    </row>
    <row r="126466" spans="2:14" s="75" customFormat="1">
      <c r="B126466" s="76">
        <v>44483</v>
      </c>
      <c r="F126466" s="77"/>
      <c r="J126466" s="77"/>
      <c r="N126466" s="77"/>
    </row>
    <row r="126467" spans="2:14" s="75" customFormat="1">
      <c r="B126467" s="76">
        <v>44483</v>
      </c>
      <c r="F126467" s="77"/>
      <c r="J126467" s="77"/>
      <c r="N126467" s="77"/>
    </row>
    <row r="126468" spans="2:14" s="75" customFormat="1">
      <c r="B126468" s="76">
        <v>44483</v>
      </c>
      <c r="F126468" s="77"/>
      <c r="J126468" s="77"/>
      <c r="N126468" s="77"/>
    </row>
    <row r="126469" spans="2:14" s="75" customFormat="1">
      <c r="B126469" s="76">
        <v>44483</v>
      </c>
      <c r="F126469" s="77"/>
      <c r="J126469" s="77"/>
      <c r="N126469" s="77"/>
    </row>
    <row r="126470" spans="2:14" s="75" customFormat="1">
      <c r="B126470" s="76">
        <v>44483</v>
      </c>
      <c r="F126470" s="77"/>
      <c r="J126470" s="77"/>
      <c r="N126470" s="77"/>
    </row>
    <row r="126471" spans="2:14">
      <c r="B126471" s="76">
        <v>44483</v>
      </c>
    </row>
    <row r="126472" spans="2:14">
      <c r="B126472" s="76">
        <v>44483</v>
      </c>
    </row>
    <row r="126473" spans="2:14" s="60" customFormat="1">
      <c r="B126473" s="76">
        <v>44483</v>
      </c>
      <c r="F126473" s="78"/>
      <c r="J126473" s="78"/>
      <c r="N126473" s="78"/>
    </row>
    <row r="126474" spans="2:14" s="60" customFormat="1">
      <c r="B126474" s="76">
        <v>44483</v>
      </c>
      <c r="F126474" s="78"/>
      <c r="J126474" s="78"/>
      <c r="N126474" s="78"/>
    </row>
    <row r="132212" spans="2:14" s="8" customFormat="1">
      <c r="B132212" s="79" t="s">
        <v>48</v>
      </c>
      <c r="F132212" s="9"/>
      <c r="J132212" s="9"/>
      <c r="N132212" s="9"/>
    </row>
    <row r="133735" spans="2:14" s="8" customFormat="1">
      <c r="B133735" s="80">
        <v>44702</v>
      </c>
      <c r="F133735" s="9"/>
      <c r="J133735" s="9"/>
      <c r="N133735" s="9"/>
    </row>
    <row r="133736" spans="2:14" s="8" customFormat="1">
      <c r="B133736" s="80">
        <v>44702</v>
      </c>
      <c r="F133736" s="9"/>
      <c r="J133736" s="9"/>
      <c r="N133736" s="9"/>
    </row>
    <row r="133737" spans="2:14" s="73" customFormat="1">
      <c r="B133737" s="81">
        <v>44702</v>
      </c>
      <c r="F133737" s="74"/>
      <c r="J133737" s="74"/>
      <c r="N133737" s="74"/>
    </row>
    <row r="133738" spans="2:14" s="73" customFormat="1">
      <c r="B133738" s="81">
        <v>44702</v>
      </c>
      <c r="F133738" s="74"/>
      <c r="J133738" s="74"/>
      <c r="N133738" s="74"/>
    </row>
    <row r="133739" spans="2:14">
      <c r="B133739" s="80">
        <v>44701</v>
      </c>
    </row>
    <row r="133740" spans="2:14">
      <c r="B133740" s="80">
        <v>44701</v>
      </c>
    </row>
    <row r="133741" spans="2:14" s="73" customFormat="1">
      <c r="B133741" s="81">
        <v>44701</v>
      </c>
      <c r="F133741" s="74"/>
      <c r="J133741" s="74"/>
      <c r="N133741" s="74"/>
    </row>
    <row r="133742" spans="2:14" s="73" customFormat="1">
      <c r="B133742" s="81">
        <v>44701</v>
      </c>
      <c r="F133742" s="74"/>
      <c r="J133742" s="74"/>
      <c r="N133742" s="74"/>
    </row>
    <row r="133743" spans="2:14" s="73" customFormat="1">
      <c r="B133743" s="81">
        <v>44701</v>
      </c>
      <c r="F133743" s="74"/>
      <c r="J133743" s="74"/>
      <c r="N133743" s="74"/>
    </row>
    <row r="133744" spans="2:14" s="73" customFormat="1">
      <c r="B133744" s="81">
        <v>44701</v>
      </c>
      <c r="F133744" s="74"/>
      <c r="J133744" s="74"/>
      <c r="N133744" s="74"/>
    </row>
    <row r="133745" spans="2:14" s="73" customFormat="1">
      <c r="B133745" s="81">
        <v>44701</v>
      </c>
      <c r="F133745" s="74"/>
      <c r="J133745" s="74"/>
      <c r="N133745" s="74"/>
    </row>
    <row r="133746" spans="2:14" s="73" customFormat="1">
      <c r="B133746" s="81">
        <v>44701</v>
      </c>
      <c r="F133746" s="74"/>
      <c r="J133746" s="74"/>
      <c r="N133746" s="74"/>
    </row>
    <row r="133747" spans="2:14" s="73" customFormat="1">
      <c r="B133747" s="81">
        <v>44701</v>
      </c>
      <c r="F133747" s="74"/>
      <c r="J133747" s="74"/>
      <c r="N133747" s="74"/>
    </row>
    <row r="133748" spans="2:14" s="73" customFormat="1">
      <c r="B133748" s="81">
        <v>44701</v>
      </c>
      <c r="F133748" s="74"/>
      <c r="J133748" s="74"/>
      <c r="N133748" s="74"/>
    </row>
    <row r="133749" spans="2:14" s="73" customFormat="1">
      <c r="B133749" s="81">
        <v>44701</v>
      </c>
      <c r="F133749" s="74"/>
      <c r="J133749" s="74"/>
      <c r="N133749" s="74"/>
    </row>
    <row r="133750" spans="2:14" s="73" customFormat="1">
      <c r="B133750" s="81">
        <v>44701</v>
      </c>
      <c r="F133750" s="74"/>
      <c r="J133750" s="74"/>
      <c r="N133750" s="74"/>
    </row>
    <row r="133751" spans="2:14" s="73" customFormat="1">
      <c r="B133751" s="81">
        <v>44701</v>
      </c>
      <c r="F133751" s="74"/>
      <c r="J133751" s="74"/>
      <c r="N133751" s="74"/>
    </row>
    <row r="133752" spans="2:14" s="73" customFormat="1">
      <c r="B133752" s="81">
        <v>44701</v>
      </c>
      <c r="F133752" s="74"/>
      <c r="J133752" s="74"/>
      <c r="N133752" s="74"/>
    </row>
    <row r="133753" spans="2:14" s="73" customFormat="1">
      <c r="B133753" s="81">
        <v>44701</v>
      </c>
      <c r="F133753" s="74"/>
      <c r="J133753" s="74"/>
      <c r="N133753" s="74"/>
    </row>
    <row r="133754" spans="2:14" s="73" customFormat="1">
      <c r="B133754" s="81">
        <v>44701</v>
      </c>
      <c r="F133754" s="74"/>
      <c r="J133754" s="74"/>
      <c r="N133754" s="74"/>
    </row>
    <row r="133755" spans="2:14" s="73" customFormat="1">
      <c r="B133755" s="81">
        <v>44701</v>
      </c>
      <c r="F133755" s="74"/>
      <c r="J133755" s="74"/>
      <c r="N133755" s="74"/>
    </row>
    <row r="133756" spans="2:14" s="73" customFormat="1">
      <c r="B133756" s="81">
        <v>44701</v>
      </c>
      <c r="F133756" s="74"/>
      <c r="J133756" s="74"/>
      <c r="N133756" s="74"/>
    </row>
    <row r="133757" spans="2:14">
      <c r="B133757" s="80">
        <v>44701</v>
      </c>
    </row>
    <row r="133758" spans="2:14">
      <c r="B133758" s="80">
        <v>44700</v>
      </c>
    </row>
    <row r="133759" spans="2:14">
      <c r="B133759" s="80">
        <v>44700</v>
      </c>
    </row>
    <row r="133760" spans="2:14" s="73" customFormat="1">
      <c r="B133760" s="81">
        <v>44700</v>
      </c>
      <c r="F133760" s="74"/>
      <c r="J133760" s="74"/>
      <c r="N133760" s="74"/>
    </row>
    <row r="133761" spans="2:14" s="73" customFormat="1">
      <c r="B133761" s="81">
        <v>44700</v>
      </c>
      <c r="F133761" s="74"/>
      <c r="J133761" s="74"/>
      <c r="N133761" s="74"/>
    </row>
    <row r="133762" spans="2:14" s="73" customFormat="1">
      <c r="B133762" s="81">
        <v>44700</v>
      </c>
      <c r="F133762" s="74"/>
      <c r="J133762" s="74"/>
      <c r="N133762" s="74"/>
    </row>
    <row r="133763" spans="2:14" s="73" customFormat="1">
      <c r="B133763" s="81">
        <v>44700</v>
      </c>
      <c r="F133763" s="74"/>
      <c r="J133763" s="74"/>
      <c r="N133763" s="74"/>
    </row>
    <row r="133764" spans="2:14" s="73" customFormat="1">
      <c r="B133764" s="81">
        <v>44700</v>
      </c>
      <c r="F133764" s="74"/>
      <c r="J133764" s="74"/>
      <c r="N133764" s="74"/>
    </row>
    <row r="133765" spans="2:14" s="73" customFormat="1">
      <c r="B133765" s="81">
        <v>44700</v>
      </c>
      <c r="F133765" s="74"/>
      <c r="J133765" s="74"/>
      <c r="N133765" s="74"/>
    </row>
    <row r="133766" spans="2:14" s="73" customFormat="1">
      <c r="B133766" s="81">
        <v>44700</v>
      </c>
      <c r="F133766" s="74"/>
      <c r="J133766" s="74"/>
      <c r="N133766" s="74"/>
    </row>
    <row r="133767" spans="2:14" s="73" customFormat="1">
      <c r="B133767" s="81">
        <v>44700</v>
      </c>
      <c r="F133767" s="74"/>
      <c r="J133767" s="74"/>
      <c r="N133767" s="74"/>
    </row>
    <row r="133768" spans="2:14" s="73" customFormat="1">
      <c r="B133768" s="81">
        <v>44700</v>
      </c>
      <c r="F133768" s="74"/>
      <c r="J133768" s="74"/>
      <c r="N133768" s="74"/>
    </row>
    <row r="133769" spans="2:14" s="73" customFormat="1">
      <c r="B133769" s="81">
        <v>44700</v>
      </c>
      <c r="F133769" s="74"/>
      <c r="J133769" s="74"/>
      <c r="N133769" s="74"/>
    </row>
    <row r="133770" spans="2:14" s="73" customFormat="1">
      <c r="B133770" s="81">
        <v>44700</v>
      </c>
      <c r="F133770" s="74"/>
      <c r="J133770" s="74"/>
      <c r="N133770" s="74"/>
    </row>
    <row r="133771" spans="2:14" s="73" customFormat="1">
      <c r="B133771" s="81">
        <v>44700</v>
      </c>
      <c r="F133771" s="74"/>
      <c r="J133771" s="74"/>
      <c r="N133771" s="74"/>
    </row>
    <row r="133772" spans="2:14" s="73" customFormat="1">
      <c r="B133772" s="81">
        <v>44700</v>
      </c>
      <c r="F133772" s="74"/>
      <c r="J133772" s="74"/>
      <c r="N133772" s="74"/>
    </row>
    <row r="133773" spans="2:14" s="73" customFormat="1">
      <c r="B133773" s="81">
        <v>44700</v>
      </c>
      <c r="F133773" s="74"/>
      <c r="J133773" s="74"/>
      <c r="N133773" s="74"/>
    </row>
    <row r="133774" spans="2:14" s="73" customFormat="1">
      <c r="B133774" s="81">
        <v>44700</v>
      </c>
      <c r="F133774" s="74"/>
      <c r="J133774" s="74"/>
      <c r="N133774" s="74"/>
    </row>
    <row r="133775" spans="2:14" s="73" customFormat="1">
      <c r="B133775" s="81">
        <v>44700</v>
      </c>
      <c r="F133775" s="74"/>
      <c r="J133775" s="74"/>
      <c r="N133775" s="74"/>
    </row>
    <row r="133776" spans="2:14" s="73" customFormat="1">
      <c r="B133776" s="81">
        <v>44700</v>
      </c>
      <c r="F133776" s="74"/>
      <c r="J133776" s="74"/>
      <c r="N133776" s="74"/>
    </row>
    <row r="133777" spans="2:14" s="73" customFormat="1">
      <c r="B133777" s="81">
        <v>44700</v>
      </c>
      <c r="F133777" s="74"/>
      <c r="J133777" s="74"/>
      <c r="N133777" s="74"/>
    </row>
    <row r="133778" spans="2:14" s="73" customFormat="1">
      <c r="B133778" s="81">
        <v>44700</v>
      </c>
      <c r="F133778" s="74"/>
      <c r="J133778" s="74"/>
      <c r="N133778" s="74"/>
    </row>
    <row r="133779" spans="2:14" s="73" customFormat="1">
      <c r="B133779" s="81">
        <v>44700</v>
      </c>
      <c r="F133779" s="74"/>
      <c r="J133779" s="74"/>
      <c r="N133779" s="74"/>
    </row>
    <row r="133780" spans="2:14" s="73" customFormat="1">
      <c r="B133780" s="81">
        <v>44701</v>
      </c>
      <c r="F133780" s="74"/>
      <c r="J133780" s="74"/>
      <c r="N133780" s="74"/>
    </row>
    <row r="133781" spans="2:14" s="73" customFormat="1">
      <c r="B133781" s="81">
        <v>44701</v>
      </c>
      <c r="F133781" s="74"/>
      <c r="J133781" s="74"/>
      <c r="N133781" s="74"/>
    </row>
    <row r="133782" spans="2:14" s="73" customFormat="1">
      <c r="B133782" s="81">
        <v>44701</v>
      </c>
      <c r="F133782" s="74"/>
      <c r="J133782" s="74"/>
      <c r="N133782" s="74"/>
    </row>
    <row r="133783" spans="2:14" s="73" customFormat="1">
      <c r="B133783" s="81">
        <v>44701</v>
      </c>
      <c r="F133783" s="74"/>
      <c r="J133783" s="74"/>
      <c r="N133783" s="74"/>
    </row>
    <row r="133784" spans="2:14" s="73" customFormat="1">
      <c r="B133784" s="81">
        <v>44701</v>
      </c>
      <c r="F133784" s="74"/>
      <c r="J133784" s="74"/>
      <c r="N133784" s="74"/>
    </row>
    <row r="133785" spans="2:14" s="73" customFormat="1">
      <c r="B133785" s="81">
        <v>44701</v>
      </c>
      <c r="F133785" s="74"/>
      <c r="J133785" s="74"/>
      <c r="N133785" s="74"/>
    </row>
    <row r="133786" spans="2:14" s="73" customFormat="1">
      <c r="B133786" s="81">
        <v>44701</v>
      </c>
      <c r="F133786" s="74"/>
      <c r="J133786" s="74"/>
      <c r="N133786" s="74"/>
    </row>
    <row r="133787" spans="2:14" s="73" customFormat="1">
      <c r="B133787" s="81">
        <v>44701</v>
      </c>
      <c r="F133787" s="74"/>
      <c r="J133787" s="74"/>
      <c r="N133787" s="74"/>
    </row>
    <row r="133788" spans="2:14" s="73" customFormat="1">
      <c r="B133788" s="81">
        <v>44701</v>
      </c>
      <c r="F133788" s="74"/>
      <c r="J133788" s="74"/>
      <c r="N133788" s="74"/>
    </row>
    <row r="133789" spans="2:14" s="73" customFormat="1">
      <c r="B133789" s="81">
        <v>44700</v>
      </c>
      <c r="F133789" s="74"/>
      <c r="J133789" s="74"/>
      <c r="N133789" s="74"/>
    </row>
    <row r="133790" spans="2:14" s="73" customFormat="1">
      <c r="B133790" s="81">
        <v>44700</v>
      </c>
      <c r="F133790" s="74"/>
      <c r="J133790" s="74"/>
      <c r="N133790" s="74"/>
    </row>
    <row r="133791" spans="2:14">
      <c r="B133791" s="60">
        <v>44699</v>
      </c>
    </row>
    <row r="133792" spans="2:14" s="73" customFormat="1">
      <c r="B133792" s="81">
        <v>44700</v>
      </c>
      <c r="F133792" s="74"/>
      <c r="J133792" s="74"/>
      <c r="N133792" s="74"/>
    </row>
    <row r="133793" spans="2:14" s="73" customFormat="1">
      <c r="B133793" s="81">
        <v>44700</v>
      </c>
      <c r="F133793" s="74"/>
      <c r="J133793" s="74"/>
      <c r="N133793" s="74"/>
    </row>
    <row r="133794" spans="2:14" s="73" customFormat="1">
      <c r="B133794" s="81">
        <v>44700</v>
      </c>
      <c r="F133794" s="74"/>
      <c r="J133794" s="74"/>
      <c r="N133794" s="74"/>
    </row>
    <row r="133795" spans="2:14" s="73" customFormat="1">
      <c r="B133795" s="81">
        <v>44700</v>
      </c>
      <c r="F133795" s="74"/>
      <c r="J133795" s="74"/>
      <c r="N133795" s="74"/>
    </row>
    <row r="133796" spans="2:14" s="73" customFormat="1">
      <c r="B133796" s="81">
        <v>44700</v>
      </c>
      <c r="F133796" s="74"/>
      <c r="J133796" s="74"/>
      <c r="N133796" s="74"/>
    </row>
    <row r="133797" spans="2:14" s="73" customFormat="1">
      <c r="B133797" s="81">
        <v>44700</v>
      </c>
      <c r="F133797" s="74"/>
      <c r="J133797" s="74"/>
      <c r="N133797" s="74"/>
    </row>
    <row r="133798" spans="2:14" s="73" customFormat="1">
      <c r="B133798" s="81">
        <v>44700</v>
      </c>
      <c r="F133798" s="74"/>
      <c r="J133798" s="74"/>
      <c r="N133798" s="74"/>
    </row>
    <row r="133799" spans="2:14" s="73" customFormat="1">
      <c r="B133799" s="81">
        <v>44700</v>
      </c>
      <c r="F133799" s="74"/>
      <c r="J133799" s="74"/>
      <c r="N133799" s="74"/>
    </row>
    <row r="133800" spans="2:14" s="73" customFormat="1">
      <c r="B133800" s="81">
        <v>44700</v>
      </c>
      <c r="F133800" s="74"/>
      <c r="J133800" s="74"/>
      <c r="N133800" s="74"/>
    </row>
    <row r="133801" spans="2:14" s="73" customFormat="1">
      <c r="B133801" s="81">
        <v>44701</v>
      </c>
      <c r="F133801" s="74"/>
      <c r="J133801" s="74"/>
      <c r="N133801" s="74"/>
    </row>
    <row r="133802" spans="2:14" s="73" customFormat="1">
      <c r="B133802" s="81">
        <v>44701</v>
      </c>
      <c r="F133802" s="74"/>
      <c r="J133802" s="74"/>
      <c r="N133802" s="74"/>
    </row>
    <row r="133803" spans="2:14" s="73" customFormat="1">
      <c r="B133803" s="81">
        <v>44701</v>
      </c>
      <c r="F133803" s="74"/>
      <c r="J133803" s="74"/>
      <c r="N133803" s="74"/>
    </row>
    <row r="133804" spans="2:14" s="73" customFormat="1">
      <c r="B133804" s="81">
        <v>44701</v>
      </c>
      <c r="F133804" s="74"/>
      <c r="J133804" s="74"/>
      <c r="N133804" s="74"/>
    </row>
    <row r="133805" spans="2:14" s="73" customFormat="1">
      <c r="B133805" s="81">
        <v>44701</v>
      </c>
      <c r="F133805" s="74"/>
      <c r="J133805" s="74"/>
      <c r="N133805" s="74"/>
    </row>
    <row r="133806" spans="2:14" s="73" customFormat="1">
      <c r="B133806" s="81">
        <v>44701</v>
      </c>
      <c r="F133806" s="74"/>
      <c r="J133806" s="74"/>
      <c r="N133806" s="74"/>
    </row>
    <row r="133807" spans="2:14" s="73" customFormat="1">
      <c r="B133807" s="81">
        <v>44701</v>
      </c>
      <c r="F133807" s="74"/>
      <c r="J133807" s="74"/>
      <c r="N133807" s="74"/>
    </row>
    <row r="133808" spans="2:14" s="73" customFormat="1">
      <c r="B133808" s="81">
        <v>44701</v>
      </c>
      <c r="F133808" s="74"/>
      <c r="J133808" s="74"/>
      <c r="N133808" s="74"/>
    </row>
    <row r="133809" spans="2:14">
      <c r="B133809" s="80">
        <v>44701</v>
      </c>
    </row>
    <row r="133810" spans="2:14">
      <c r="B133810" s="60">
        <v>44699</v>
      </c>
    </row>
    <row r="133811" spans="2:14" s="73" customFormat="1">
      <c r="B133811" s="72">
        <v>44700</v>
      </c>
      <c r="F133811" s="74"/>
      <c r="J133811" s="74"/>
      <c r="N133811" s="74"/>
    </row>
    <row r="133812" spans="2:14">
      <c r="B133812" s="60">
        <v>44700</v>
      </c>
    </row>
  </sheetData>
  <mergeCells count="33">
    <mergeCell ref="A75:B75"/>
    <mergeCell ref="A62:B62"/>
    <mergeCell ref="A73:B73"/>
    <mergeCell ref="A9:B9"/>
    <mergeCell ref="L6:L7"/>
    <mergeCell ref="A177:B177"/>
    <mergeCell ref="D5:E5"/>
    <mergeCell ref="H5:I5"/>
    <mergeCell ref="A24:B24"/>
    <mergeCell ref="A26:B26"/>
    <mergeCell ref="A39:B39"/>
    <mergeCell ref="A50:B50"/>
    <mergeCell ref="A56:B56"/>
    <mergeCell ref="I6:I7"/>
    <mergeCell ref="A86:B86"/>
    <mergeCell ref="A107:B107"/>
    <mergeCell ref="A123:B123"/>
    <mergeCell ref="A130:B130"/>
    <mergeCell ref="A137:B137"/>
    <mergeCell ref="A163:B163"/>
    <mergeCell ref="A150:B150"/>
    <mergeCell ref="D2:O3"/>
    <mergeCell ref="H6:H7"/>
    <mergeCell ref="A4:B4"/>
    <mergeCell ref="D4:E4"/>
    <mergeCell ref="H4:I4"/>
    <mergeCell ref="L4:M4"/>
    <mergeCell ref="L5:M5"/>
    <mergeCell ref="M6:M7"/>
    <mergeCell ref="A6:A7"/>
    <mergeCell ref="B6:B7"/>
    <mergeCell ref="D6:D7"/>
    <mergeCell ref="E6:E7"/>
  </mergeCells>
  <phoneticPr fontId="23" type="noConversion"/>
  <conditionalFormatting sqref="F11:F19 J11:J75 N11:N75">
    <cfRule type="cellIs" dxfId="5" priority="8" operator="lessThan">
      <formula>0</formula>
    </cfRule>
  </conditionalFormatting>
  <conditionalFormatting sqref="F22:F75 F175:F194">
    <cfRule type="cellIs" dxfId="4" priority="13" operator="lessThan">
      <formula>0</formula>
    </cfRule>
  </conditionalFormatting>
  <conditionalFormatting sqref="F76:F174 J76:J174 N76:N175">
    <cfRule type="cellIs" dxfId="3" priority="3" operator="greaterThan">
      <formula>0</formula>
    </cfRule>
  </conditionalFormatting>
  <conditionalFormatting sqref="J175:J178">
    <cfRule type="cellIs" dxfId="2" priority="12" operator="lessThan">
      <formula>0</formula>
    </cfRule>
  </conditionalFormatting>
  <conditionalFormatting sqref="N20:N75 N176:N177">
    <cfRule type="cellIs" dxfId="1" priority="11" operator="lessThan">
      <formula>-4260536</formula>
    </cfRule>
  </conditionalFormatting>
  <conditionalFormatting sqref="N176:N177">
    <cfRule type="cellIs" dxfId="0" priority="10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70" orientation="portrait" r:id="rId1"/>
  <ignoredErrors>
    <ignoredError sqref="A12:A16 B42:B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CASHFLOW SEMANAL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Ramirez</dc:creator>
  <cp:lastModifiedBy>LUIS RIVERA</cp:lastModifiedBy>
  <cp:lastPrinted>2024-06-04T23:20:48Z</cp:lastPrinted>
  <dcterms:created xsi:type="dcterms:W3CDTF">2022-12-07T19:08:10Z</dcterms:created>
  <dcterms:modified xsi:type="dcterms:W3CDTF">2026-06-14T10:36:59Z</dcterms:modified>
</cp:coreProperties>
</file>